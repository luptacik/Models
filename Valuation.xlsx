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" sheetId="1" r:id="rId5"/>
    <sheet state="visible" name="sectors" sheetId="2" r:id="rId6"/>
  </sheets>
  <definedNames>
    <definedName hidden="1" localSheetId="0" name="_xlnm._FilterDatabase">Val!$A$1:$AL$86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tc={2137ff14-c87c-4a53-bbdc-6f4b4da62ff8}</author>
    <author>tc={5d6bfefb-d6c0-4613-9efe-0eb03c6bcdc9}</author>
    <author>tc={c317ff61-91a9-4c9b-a08f-2f0e5f2d8d7f}</author>
  </authors>
  <commentList>
    <comment authorId="0" xr:uid="{2137ff14-c87c-4a53-bbdc-6f4b4da62ff8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2076.HK
</t>
      </text>
    </comment>
    <comment authorId="1" xr:uid="{5d6bfefb-d6c0-4613-9efe-0eb03c6bcdc9}" ref="V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FY2027
</t>
      </text>
    </comment>
    <comment authorId="2" xr:uid="{c317ff61-91a9-4c9b-a08f-2f0e5f2d8d7f}" ref="V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2y
</t>
      </text>
    </comment>
  </commentList>
</comments>
</file>

<file path=xl/sharedStrings.xml><?xml version="1.0" encoding="utf-8"?>
<sst xmlns="http://schemas.openxmlformats.org/spreadsheetml/2006/main" count="509" uniqueCount="261">
  <si>
    <t>Ticker</t>
  </si>
  <si>
    <t>name</t>
  </si>
  <si>
    <t>sector score</t>
  </si>
  <si>
    <t>sector</t>
  </si>
  <si>
    <t>SECTOR2</t>
  </si>
  <si>
    <t>SUB1</t>
  </si>
  <si>
    <t>SUB2</t>
  </si>
  <si>
    <t>analysis date</t>
  </si>
  <si>
    <t>own</t>
  </si>
  <si>
    <t>comment</t>
  </si>
  <si>
    <t>valuation</t>
  </si>
  <si>
    <t>price</t>
  </si>
  <si>
    <t>current</t>
  </si>
  <si>
    <t>buy</t>
  </si>
  <si>
    <t>prio</t>
  </si>
  <si>
    <t>bear&gt;current</t>
  </si>
  <si>
    <t>bear</t>
  </si>
  <si>
    <t>base target</t>
  </si>
  <si>
    <t>bull</t>
  </si>
  <si>
    <t>change</t>
  </si>
  <si>
    <t>implied</t>
  </si>
  <si>
    <t>actual/guided (mid)</t>
  </si>
  <si>
    <t>diff</t>
  </si>
  <si>
    <t>conviction</t>
  </si>
  <si>
    <t>val.date</t>
  </si>
  <si>
    <t>Run wheel</t>
  </si>
  <si>
    <t>APP</t>
  </si>
  <si>
    <t>AppLovin</t>
  </si>
  <si>
    <t>ADTECH</t>
  </si>
  <si>
    <t>pure</t>
  </si>
  <si>
    <t>6.4.2026</t>
  </si>
  <si>
    <t>12.4.2026</t>
  </si>
  <si>
    <t>ZETA</t>
  </si>
  <si>
    <t>Zeta Global</t>
  </si>
  <si>
    <t>AMZN</t>
  </si>
  <si>
    <t>big</t>
  </si>
  <si>
    <t>11.4.2026</t>
  </si>
  <si>
    <t>RDDT</t>
  </si>
  <si>
    <t>alternate</t>
  </si>
  <si>
    <t>META</t>
  </si>
  <si>
    <t>GOOGL</t>
  </si>
  <si>
    <t>ROKU</t>
  </si>
  <si>
    <t>0175.HK</t>
  </si>
  <si>
    <t>Geely</t>
  </si>
  <si>
    <t>China EV</t>
  </si>
  <si>
    <t>30.3.2026</t>
  </si>
  <si>
    <t>min 3k USd</t>
  </si>
  <si>
    <t>3k USD</t>
  </si>
  <si>
    <t>4.4.2026</t>
  </si>
  <si>
    <t>1211.HK</t>
  </si>
  <si>
    <t>BYD</t>
  </si>
  <si>
    <t>3750.HK</t>
  </si>
  <si>
    <t>CATL</t>
  </si>
  <si>
    <t>min 8k USd</t>
  </si>
  <si>
    <t>9868.HK</t>
  </si>
  <si>
    <t>Xpeng</t>
  </si>
  <si>
    <t>FUTU</t>
  </si>
  <si>
    <t>China FINTECH</t>
  </si>
  <si>
    <t>TODO</t>
  </si>
  <si>
    <t>6160.HK</t>
  </si>
  <si>
    <t>BeOne (BeiGene)</t>
  </si>
  <si>
    <t>China healthcare</t>
  </si>
  <si>
    <t>LEGN</t>
  </si>
  <si>
    <t>Legend Bio</t>
  </si>
  <si>
    <t>6618.HK</t>
  </si>
  <si>
    <t>JD Health</t>
  </si>
  <si>
    <t>9961.HK</t>
  </si>
  <si>
    <t>Trip.com</t>
  </si>
  <si>
    <t>China tech</t>
  </si>
  <si>
    <t>min 2.5k USD</t>
  </si>
  <si>
    <t>2.5k</t>
  </si>
  <si>
    <t>0700.HK</t>
  </si>
  <si>
    <t>Tencent</t>
  </si>
  <si>
    <t>min 6k USD</t>
  </si>
  <si>
    <t>9988.HK</t>
  </si>
  <si>
    <t>ALIBABA</t>
  </si>
  <si>
    <t>9618.HK</t>
  </si>
  <si>
    <t>JD.com</t>
  </si>
  <si>
    <t>100 shares</t>
  </si>
  <si>
    <t>BZ</t>
  </si>
  <si>
    <t>Kanzun</t>
  </si>
  <si>
    <t>9899.HK</t>
  </si>
  <si>
    <t>Cloud Music</t>
  </si>
  <si>
    <t>CHINESE DIGITAL ENTERTAINMENT</t>
  </si>
  <si>
    <t>830 min</t>
  </si>
  <si>
    <t>1698.HK</t>
  </si>
  <si>
    <t>Tencent Music</t>
  </si>
  <si>
    <t>200 shares</t>
  </si>
  <si>
    <t>9999.HK</t>
  </si>
  <si>
    <t>NetEase</t>
  </si>
  <si>
    <t>buy ADR low</t>
  </si>
  <si>
    <t>002602.SZ</t>
  </si>
  <si>
    <t>Century Huatong</t>
  </si>
  <si>
    <t>2400.HK</t>
  </si>
  <si>
    <t>XD Inc</t>
  </si>
  <si>
    <t>9626.HK</t>
  </si>
  <si>
    <t>Bilibili</t>
  </si>
  <si>
    <t>ZS</t>
  </si>
  <si>
    <t>CyberSecurity</t>
  </si>
  <si>
    <t>29.3.2026</t>
  </si>
  <si>
    <t>hold</t>
  </si>
  <si>
    <t>RBRK</t>
  </si>
  <si>
    <t>20 + wheel</t>
  </si>
  <si>
    <t>wheel</t>
  </si>
  <si>
    <t>CRWD</t>
  </si>
  <si>
    <t>PANW</t>
  </si>
  <si>
    <t>NET</t>
  </si>
  <si>
    <t>PLTR</t>
  </si>
  <si>
    <t>Data Analytics / AI Platforms</t>
  </si>
  <si>
    <t>SNOW</t>
  </si>
  <si>
    <t>NOW</t>
  </si>
  <si>
    <t>VEEV</t>
  </si>
  <si>
    <t>PEGA</t>
  </si>
  <si>
    <t>FICO</t>
  </si>
  <si>
    <t>MDB</t>
  </si>
  <si>
    <t>TWLO</t>
  </si>
  <si>
    <t>CRM</t>
  </si>
  <si>
    <t>BE</t>
  </si>
  <si>
    <t>Bloom Energy</t>
  </si>
  <si>
    <t>Data centre energy</t>
  </si>
  <si>
    <t>IA top pick</t>
  </si>
  <si>
    <t>CEG</t>
  </si>
  <si>
    <t>Constellation Energy</t>
  </si>
  <si>
    <t>Nuclear</t>
  </si>
  <si>
    <t>generation</t>
  </si>
  <si>
    <t>IA par. maybe</t>
  </si>
  <si>
    <t>VRT</t>
  </si>
  <si>
    <t>Vertiv Holdings</t>
  </si>
  <si>
    <t>GEV</t>
  </si>
  <si>
    <t xml:space="preserve"> GE Vernova</t>
  </si>
  <si>
    <t xml:space="preserve"> Equipment</t>
  </si>
  <si>
    <t>FIX</t>
  </si>
  <si>
    <t>Comfort Systems</t>
  </si>
  <si>
    <t>ETN</t>
  </si>
  <si>
    <t>Eaton Corp</t>
  </si>
  <si>
    <t>STRL</t>
  </si>
  <si>
    <t>Sterling Infra</t>
  </si>
  <si>
    <t>TLN</t>
  </si>
  <si>
    <t>Talen Energy</t>
  </si>
  <si>
    <t>MOD</t>
  </si>
  <si>
    <t>Modine Mfg</t>
  </si>
  <si>
    <t>CCJ</t>
  </si>
  <si>
    <t>Cameco</t>
  </si>
  <si>
    <t>Mining + Fuel</t>
  </si>
  <si>
    <t>MPWR</t>
  </si>
  <si>
    <t>Monolithic Power</t>
  </si>
  <si>
    <t>EME</t>
  </si>
  <si>
    <t>EMCOR Group</t>
  </si>
  <si>
    <t>BWXT</t>
  </si>
  <si>
    <t>BWX Technologies</t>
  </si>
  <si>
    <t>Equip + Defense</t>
  </si>
  <si>
    <t>VST</t>
  </si>
  <si>
    <t>Vistra Corp</t>
  </si>
  <si>
    <t>NVT</t>
  </si>
  <si>
    <t>nVent Electric</t>
  </si>
  <si>
    <t>LEU</t>
  </si>
  <si>
    <t>Centrus Energy</t>
  </si>
  <si>
    <t xml:space="preserve"> Enrichment + HALEU</t>
  </si>
  <si>
    <t>MU</t>
  </si>
  <si>
    <t>Micron</t>
  </si>
  <si>
    <t>memory</t>
  </si>
  <si>
    <t>2.4.2026</t>
  </si>
  <si>
    <t>SNDK</t>
  </si>
  <si>
    <t>SanDisk</t>
  </si>
  <si>
    <t>RMBS</t>
  </si>
  <si>
    <t>Rambus</t>
  </si>
  <si>
    <t>285A</t>
  </si>
  <si>
    <t>Kioxia hol.</t>
  </si>
  <si>
    <t>2344.T</t>
  </si>
  <si>
    <t>Winbond ele.</t>
  </si>
  <si>
    <t>688088.SS</t>
  </si>
  <si>
    <t>Montage tech.</t>
  </si>
  <si>
    <t>DDOG</t>
  </si>
  <si>
    <t>DataDog</t>
  </si>
  <si>
    <t>Monitoring</t>
  </si>
  <si>
    <t>DT</t>
  </si>
  <si>
    <t>DynaTrace</t>
  </si>
  <si>
    <t>NU</t>
  </si>
  <si>
    <t>NEOBANKING</t>
  </si>
  <si>
    <t>buy and/or wheel</t>
  </si>
  <si>
    <t>SOFI</t>
  </si>
  <si>
    <t>100 + wheel</t>
  </si>
  <si>
    <t>LC</t>
  </si>
  <si>
    <t>AFRM</t>
  </si>
  <si>
    <t>DAVE</t>
  </si>
  <si>
    <t>ATRL</t>
  </si>
  <si>
    <t>Nuclear - Engineering</t>
  </si>
  <si>
    <t>CW</t>
  </si>
  <si>
    <t>Nuclear - equip</t>
  </si>
  <si>
    <t>KAP</t>
  </si>
  <si>
    <t>Nuclear - Mining</t>
  </si>
  <si>
    <t>LITE</t>
  </si>
  <si>
    <t>Lumenum</t>
  </si>
  <si>
    <t>Optics</t>
  </si>
  <si>
    <t>TSEM</t>
  </si>
  <si>
    <t>Tower semi</t>
  </si>
  <si>
    <t>CIEN</t>
  </si>
  <si>
    <t>Ciena</t>
  </si>
  <si>
    <t>COHR</t>
  </si>
  <si>
    <t>Coherent</t>
  </si>
  <si>
    <t>300394.SZ</t>
  </si>
  <si>
    <t>TFC</t>
  </si>
  <si>
    <t>IA china pick</t>
  </si>
  <si>
    <t>002281.SZ</t>
  </si>
  <si>
    <t>Accelink</t>
  </si>
  <si>
    <t>KSPI</t>
  </si>
  <si>
    <t>EVO</t>
  </si>
  <si>
    <t>NOMD</t>
  </si>
  <si>
    <t>GCT</t>
  </si>
  <si>
    <t>HIMS</t>
  </si>
  <si>
    <t>RUN</t>
  </si>
  <si>
    <t>n</t>
  </si>
  <si>
    <t>sub</t>
  </si>
  <si>
    <t>state</t>
  </si>
  <si>
    <t>AI Infrastructure &amp; Edge Compute</t>
  </si>
  <si>
    <t>Semiconductors &amp; Adjacent</t>
  </si>
  <si>
    <t>done</t>
  </si>
  <si>
    <t>Memory</t>
  </si>
  <si>
    <t>Optics / Connectivity</t>
  </si>
  <si>
    <t>Semicap / Semiconductor Equipment</t>
  </si>
  <si>
    <t>Specialty Foundry / Logic Fab</t>
  </si>
  <si>
    <t>Specialty Semiconductors</t>
  </si>
  <si>
    <t>Timing / Precision Components</t>
  </si>
  <si>
    <t>Test &amp; Measurement</t>
  </si>
  <si>
    <t>High-End PCB / Interconnect</t>
  </si>
  <si>
    <t>Supercapacitors / Power Components</t>
  </si>
  <si>
    <t>Power Generation / Data Center Energy</t>
  </si>
  <si>
    <t>Energy &amp; Infrastructure</t>
  </si>
  <si>
    <t>Nuclear Renaissance</t>
  </si>
  <si>
    <t>Power Grid Modernization</t>
  </si>
  <si>
    <t>Residential Solar</t>
  </si>
  <si>
    <t>doing</t>
  </si>
  <si>
    <t>Water Infrastructure</t>
  </si>
  <si>
    <t>Miners</t>
  </si>
  <si>
    <t>Earth and mining</t>
  </si>
  <si>
    <t>Drillers</t>
  </si>
  <si>
    <t>Rare Earth</t>
  </si>
  <si>
    <t>Defense Tech / Autonomous Systems</t>
  </si>
  <si>
    <t>Defense, Space &amp; Industrial</t>
  </si>
  <si>
    <t>Space &amp; Satellite Communications</t>
  </si>
  <si>
    <t>Robotics &amp; Industrial Automation</t>
  </si>
  <si>
    <t>Private Wireless Networks / Industrial IoT</t>
  </si>
  <si>
    <t>Cybersecurity</t>
  </si>
  <si>
    <t>Software &amp; Cloud</t>
  </si>
  <si>
    <t>Cloud Observability / Monitoring</t>
  </si>
  <si>
    <t>Enterprise SaaS / IT Workflows</t>
  </si>
  <si>
    <t>Digital Advertising / AdTech</t>
  </si>
  <si>
    <t>Mega-Cap Platforms</t>
  </si>
  <si>
    <t>Consumer Fintech / Neobanking</t>
  </si>
  <si>
    <t>Fintech &amp; Financial</t>
  </si>
  <si>
    <t>EM Super-App Fintech</t>
  </si>
  <si>
    <t>Digital Payments / Payment Rails</t>
  </si>
  <si>
    <t>Insurance Tech</t>
  </si>
  <si>
    <t>GLP-1 / Obesity Ecosystem</t>
  </si>
  <si>
    <t>Healthcare &amp; Consumer</t>
  </si>
  <si>
    <t>Aging Population / Senior Care</t>
  </si>
  <si>
    <t>managed Healthcare</t>
  </si>
  <si>
    <t>Chinese Internet / Tech Conglomerates</t>
  </si>
  <si>
    <t>China</t>
  </si>
  <si>
    <t>Chinese EV</t>
  </si>
  <si>
    <t>Chinese Digital Entertainment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</si>
</sst>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ek Luptáčik" id="{44376f57-750c-4181-8914-2cf8e08ecf0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75" dT="2026-04-05T18:18:14.00" personId="{44376f57-750c-4181-8914-2cf8e08ecf08}" id="{c317ff61-91a9-4c9b-a08f-2f0e5f2d8d7f}" done="1">
    <x18tc:text xml:space="preserve">2y</x18tc:text>
  </x18tc:threadedComment>
  <x18tc:threadedComment ref="A21" dT="2026-04-06T12:45:15.00" personId="{44376f57-750c-4181-8914-2cf8e08ecf08}" id="{2137ff14-c87c-4a53-bbdc-6f4b4da62ff8}" done="0">
    <x18tc:text xml:space="preserve">2076.HK</x18tc:text>
    <x18tc:extLst>
      <ext uri="{F7C98A9C-CBB3-438F-8F68-D28B6AF4A901}">
        <xltc2:checksum/>
        <xltc2:hyperlink startIndex="0" length="7" url="http://2076.HK"/>
      </ext>
    </x18tc:extLst>
  </x18tc:threadedComment>
  <x18tc:threadedComment ref="V75" dT="2026-04-05T18:18:28.00" personId="{44376f57-750c-4181-8914-2cf8e08ecf08}" id="{5d6bfefb-d6c0-4613-9efe-0eb03c6bcdc9}" done="0">
    <x18tc:text xml:space="preserve">FY2027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2400.hk" TargetMode="External"/><Relationship Id="rId22" Type="http://schemas.openxmlformats.org/officeDocument/2006/relationships/hyperlink" Target="http://688088.ss/" TargetMode="External"/><Relationship Id="rId21" Type="http://schemas.openxmlformats.org/officeDocument/2006/relationships/hyperlink" Target="http://9626.hk/" TargetMode="External"/><Relationship Id="rId24" Type="http://schemas.openxmlformats.org/officeDocument/2006/relationships/hyperlink" Target="http://002281.sz" TargetMode="External"/><Relationship Id="rId23" Type="http://schemas.openxmlformats.org/officeDocument/2006/relationships/hyperlink" Target="http://300394.sz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0175.hk" TargetMode="External"/><Relationship Id="rId9" Type="http://schemas.openxmlformats.org/officeDocument/2006/relationships/hyperlink" Target="http://6618.hk/" TargetMode="External"/><Relationship Id="rId26" Type="http://schemas.openxmlformats.org/officeDocument/2006/relationships/vmlDrawing" Target="../drawings/vmlDrawing1.vml"/><Relationship Id="rId25" Type="http://schemas.openxmlformats.org/officeDocument/2006/relationships/drawing" Target="../drawings/drawing1.xml"/><Relationship Id="rId5" Type="http://schemas.openxmlformats.org/officeDocument/2006/relationships/hyperlink" Target="http://1211.hk" TargetMode="External"/><Relationship Id="rId6" Type="http://schemas.openxmlformats.org/officeDocument/2006/relationships/hyperlink" Target="http://3750.hk" TargetMode="External"/><Relationship Id="rId7" Type="http://schemas.openxmlformats.org/officeDocument/2006/relationships/hyperlink" Target="http://9868.hk/" TargetMode="External"/><Relationship Id="rId8" Type="http://schemas.openxmlformats.org/officeDocument/2006/relationships/hyperlink" Target="http://6160.hk" TargetMode="External"/><Relationship Id="rId11" Type="http://schemas.openxmlformats.org/officeDocument/2006/relationships/hyperlink" Target="http://trip.com" TargetMode="External"/><Relationship Id="rId10" Type="http://schemas.openxmlformats.org/officeDocument/2006/relationships/hyperlink" Target="http://9961.hk/" TargetMode="External"/><Relationship Id="rId13" Type="http://schemas.openxmlformats.org/officeDocument/2006/relationships/hyperlink" Target="http://9988.hk" TargetMode="External"/><Relationship Id="rId12" Type="http://schemas.openxmlformats.org/officeDocument/2006/relationships/hyperlink" Target="http://0700.hk" TargetMode="External"/><Relationship Id="rId15" Type="http://schemas.openxmlformats.org/officeDocument/2006/relationships/hyperlink" Target="http://jd.com/" TargetMode="External"/><Relationship Id="rId14" Type="http://schemas.openxmlformats.org/officeDocument/2006/relationships/hyperlink" Target="http://9618.hk" TargetMode="External"/><Relationship Id="rId17" Type="http://schemas.openxmlformats.org/officeDocument/2006/relationships/hyperlink" Target="http://1698.hk" TargetMode="External"/><Relationship Id="rId16" Type="http://schemas.openxmlformats.org/officeDocument/2006/relationships/hyperlink" Target="http://9899.hk/" TargetMode="External"/><Relationship Id="rId19" Type="http://schemas.openxmlformats.org/officeDocument/2006/relationships/hyperlink" Target="http://002602.sz/" TargetMode="External"/><Relationship Id="rId18" Type="http://schemas.openxmlformats.org/officeDocument/2006/relationships/hyperlink" Target="http://9999.h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4.75"/>
    <col customWidth="1" min="5" max="5" width="11.88"/>
    <col customWidth="1" min="6" max="7" width="14.38"/>
    <col customWidth="1" min="9" max="9" width="6.25"/>
    <col customWidth="1" min="11" max="11" width="9.13"/>
    <col customWidth="1" min="21" max="21" width="10.5"/>
    <col customWidth="1" min="25" max="25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>
        <v>23.0</v>
      </c>
      <c r="D2" s="1" t="s">
        <v>28</v>
      </c>
      <c r="E2" s="1"/>
      <c r="F2" s="1" t="s">
        <v>29</v>
      </c>
      <c r="G2" s="1"/>
      <c r="H2" s="1" t="s">
        <v>30</v>
      </c>
      <c r="I2" s="1">
        <v>1.0</v>
      </c>
      <c r="K2" s="1">
        <v>1.0</v>
      </c>
      <c r="L2" s="2">
        <f t="shared" ref="L2:L61" si="1">getStockPrice(A2)</f>
        <v>464.63</v>
      </c>
      <c r="O2" s="1">
        <v>3.0</v>
      </c>
      <c r="P2" s="1">
        <f t="shared" ref="P2:P68" si="2">IF(ISBLANK(Q2),,(IF(Q2&gt;L2, Q2-L2, 0)))</f>
        <v>0</v>
      </c>
      <c r="Q2" s="1">
        <v>220.0</v>
      </c>
      <c r="R2" s="1">
        <v>340.0</v>
      </c>
      <c r="S2" s="1">
        <v>450.0</v>
      </c>
      <c r="T2" s="2">
        <f t="shared" ref="T2:T80" si="3">IF(ISBLANK(R2),,(ROUND((R2/L2-1)*100, 0)))</f>
        <v>-27</v>
      </c>
      <c r="U2" s="1">
        <v>18.4</v>
      </c>
      <c r="V2" s="1">
        <v>30.0</v>
      </c>
      <c r="W2" s="2">
        <f t="shared" ref="W2:W71" si="4">IF(ISBLANK(V2),,(V2-U2))</f>
        <v>11.6</v>
      </c>
      <c r="X2" s="1">
        <v>3.0</v>
      </c>
      <c r="Y2" s="1" t="s">
        <v>31</v>
      </c>
    </row>
    <row r="3">
      <c r="A3" s="1" t="s">
        <v>32</v>
      </c>
      <c r="B3" s="1" t="s">
        <v>33</v>
      </c>
      <c r="C3" s="1">
        <v>20.0</v>
      </c>
      <c r="D3" s="1" t="s">
        <v>28</v>
      </c>
      <c r="E3" s="1"/>
      <c r="F3" s="1" t="s">
        <v>29</v>
      </c>
      <c r="G3" s="1"/>
      <c r="H3" s="1" t="s">
        <v>30</v>
      </c>
      <c r="K3" s="1">
        <v>1.0</v>
      </c>
      <c r="L3" s="2">
        <f t="shared" si="1"/>
        <v>17.37</v>
      </c>
      <c r="O3" s="1">
        <v>2.0</v>
      </c>
      <c r="P3" s="1">
        <f t="shared" si="2"/>
        <v>0</v>
      </c>
      <c r="Q3" s="1">
        <v>15.57</v>
      </c>
      <c r="R3" s="1">
        <v>23.41</v>
      </c>
      <c r="S3" s="1">
        <v>33.3</v>
      </c>
      <c r="T3" s="2">
        <f t="shared" si="3"/>
        <v>35</v>
      </c>
      <c r="U3" s="1">
        <v>4.0</v>
      </c>
      <c r="V3" s="1">
        <v>18.0</v>
      </c>
      <c r="W3" s="2">
        <f t="shared" si="4"/>
        <v>14</v>
      </c>
      <c r="X3" s="1">
        <v>4.0</v>
      </c>
      <c r="Y3" s="1" t="s">
        <v>31</v>
      </c>
    </row>
    <row r="4">
      <c r="A4" s="1" t="s">
        <v>34</v>
      </c>
      <c r="B4" s="1"/>
      <c r="C4" s="1">
        <v>23.0</v>
      </c>
      <c r="D4" s="1" t="s">
        <v>28</v>
      </c>
      <c r="E4" s="1"/>
      <c r="F4" s="1" t="s">
        <v>35</v>
      </c>
      <c r="G4" s="1"/>
      <c r="H4" s="1" t="s">
        <v>36</v>
      </c>
      <c r="L4" s="2">
        <f t="shared" si="1"/>
        <v>248.5</v>
      </c>
      <c r="P4" s="1" t="str">
        <f t="shared" si="2"/>
        <v/>
      </c>
      <c r="T4" s="2" t="str">
        <f t="shared" si="3"/>
        <v/>
      </c>
      <c r="W4" s="2" t="str">
        <f t="shared" si="4"/>
        <v/>
      </c>
    </row>
    <row r="5">
      <c r="A5" s="1" t="s">
        <v>37</v>
      </c>
      <c r="B5" s="1"/>
      <c r="C5" s="1">
        <v>22.0</v>
      </c>
      <c r="D5" s="1" t="s">
        <v>28</v>
      </c>
      <c r="E5" s="1"/>
      <c r="F5" s="1" t="s">
        <v>38</v>
      </c>
      <c r="G5" s="1"/>
      <c r="H5" s="1" t="s">
        <v>36</v>
      </c>
      <c r="K5" s="1">
        <v>1.0</v>
      </c>
      <c r="L5" s="2">
        <f t="shared" si="1"/>
        <v>158.48</v>
      </c>
      <c r="O5" s="1">
        <v>4.0</v>
      </c>
      <c r="P5" s="1">
        <f t="shared" si="2"/>
        <v>0</v>
      </c>
      <c r="Q5" s="1">
        <v>86.0</v>
      </c>
      <c r="R5" s="1">
        <v>123.0</v>
      </c>
      <c r="S5" s="1">
        <v>172.0</v>
      </c>
      <c r="T5" s="2">
        <f t="shared" si="3"/>
        <v>-22</v>
      </c>
      <c r="U5" s="1">
        <v>17.4</v>
      </c>
      <c r="V5" s="1">
        <v>20.0</v>
      </c>
      <c r="W5" s="2">
        <f t="shared" si="4"/>
        <v>2.6</v>
      </c>
      <c r="X5" s="1">
        <v>3.5</v>
      </c>
      <c r="Y5" s="1" t="s">
        <v>31</v>
      </c>
    </row>
    <row r="6">
      <c r="A6" s="1" t="s">
        <v>39</v>
      </c>
      <c r="B6" s="1"/>
      <c r="C6" s="1">
        <v>24.0</v>
      </c>
      <c r="D6" s="1" t="s">
        <v>28</v>
      </c>
      <c r="E6" s="1"/>
      <c r="F6" s="1" t="s">
        <v>35</v>
      </c>
      <c r="G6" s="1"/>
      <c r="H6" s="1" t="s">
        <v>36</v>
      </c>
      <c r="I6" s="1">
        <v>1.0</v>
      </c>
      <c r="K6" s="1">
        <v>1.0</v>
      </c>
      <c r="L6" s="2">
        <f t="shared" si="1"/>
        <v>671.58</v>
      </c>
      <c r="O6" s="1">
        <v>3.0</v>
      </c>
      <c r="P6" s="1">
        <f t="shared" si="2"/>
        <v>0</v>
      </c>
      <c r="Q6" s="1">
        <v>483.0</v>
      </c>
      <c r="R6" s="1">
        <v>680.0</v>
      </c>
      <c r="S6" s="1">
        <v>881.0</v>
      </c>
      <c r="T6" s="2">
        <f t="shared" si="3"/>
        <v>1</v>
      </c>
      <c r="U6" s="1">
        <v>9.2</v>
      </c>
      <c r="V6" s="1">
        <v>15.0</v>
      </c>
      <c r="W6" s="2">
        <f t="shared" si="4"/>
        <v>5.8</v>
      </c>
      <c r="X6" s="1">
        <v>4.0</v>
      </c>
      <c r="Y6" s="1" t="s">
        <v>31</v>
      </c>
    </row>
    <row r="7">
      <c r="A7" s="1" t="s">
        <v>40</v>
      </c>
      <c r="B7" s="1"/>
      <c r="C7" s="1">
        <v>22.0</v>
      </c>
      <c r="D7" s="1" t="s">
        <v>28</v>
      </c>
      <c r="E7" s="1"/>
      <c r="F7" s="1" t="s">
        <v>35</v>
      </c>
      <c r="G7" s="1"/>
      <c r="H7" s="1" t="s">
        <v>36</v>
      </c>
      <c r="I7" s="1">
        <v>1.0</v>
      </c>
      <c r="K7" s="1">
        <v>1.0</v>
      </c>
      <c r="L7" s="2">
        <f t="shared" si="1"/>
        <v>337.12</v>
      </c>
      <c r="O7" s="1">
        <v>4.0</v>
      </c>
      <c r="P7" s="1">
        <f t="shared" si="2"/>
        <v>0</v>
      </c>
      <c r="Q7" s="1">
        <v>166.0</v>
      </c>
      <c r="R7" s="1">
        <v>203.0</v>
      </c>
      <c r="S7" s="1">
        <v>261.0</v>
      </c>
      <c r="T7" s="2">
        <f t="shared" si="3"/>
        <v>-40</v>
      </c>
      <c r="U7" s="1">
        <v>15.0</v>
      </c>
      <c r="V7" s="1">
        <v>11.0</v>
      </c>
      <c r="W7" s="2">
        <f t="shared" si="4"/>
        <v>-4</v>
      </c>
      <c r="X7" s="1">
        <v>4.0</v>
      </c>
      <c r="Y7" s="1" t="s">
        <v>31</v>
      </c>
    </row>
    <row r="8">
      <c r="A8" s="1" t="s">
        <v>41</v>
      </c>
      <c r="B8" s="1" t="s">
        <v>41</v>
      </c>
      <c r="C8" s="1">
        <v>18.0</v>
      </c>
      <c r="D8" s="1" t="s">
        <v>28</v>
      </c>
      <c r="E8" s="1"/>
      <c r="F8" s="1" t="s">
        <v>29</v>
      </c>
      <c r="G8" s="1"/>
      <c r="H8" s="1" t="s">
        <v>30</v>
      </c>
      <c r="L8" s="2">
        <f t="shared" si="1"/>
        <v>109.33</v>
      </c>
      <c r="P8" s="1" t="str">
        <f t="shared" si="2"/>
        <v/>
      </c>
      <c r="T8" s="2" t="str">
        <f t="shared" si="3"/>
        <v/>
      </c>
      <c r="W8" s="2" t="str">
        <f t="shared" si="4"/>
        <v/>
      </c>
    </row>
    <row r="9">
      <c r="A9" s="3" t="s">
        <v>42</v>
      </c>
      <c r="B9" s="1" t="s">
        <v>43</v>
      </c>
      <c r="C9" s="1">
        <v>22.0</v>
      </c>
      <c r="D9" s="1" t="s">
        <v>44</v>
      </c>
      <c r="E9" s="1"/>
      <c r="F9" s="1"/>
      <c r="G9" s="1"/>
      <c r="H9" s="1" t="s">
        <v>45</v>
      </c>
      <c r="I9" s="1"/>
      <c r="J9" s="1" t="s">
        <v>46</v>
      </c>
      <c r="K9" s="1">
        <v>1.0</v>
      </c>
      <c r="L9" s="2">
        <f t="shared" si="1"/>
        <v>24.04</v>
      </c>
      <c r="M9" s="1">
        <v>0.0</v>
      </c>
      <c r="N9" s="1" t="s">
        <v>47</v>
      </c>
      <c r="O9" s="1">
        <v>1.0</v>
      </c>
      <c r="P9" s="1">
        <f t="shared" si="2"/>
        <v>0.46</v>
      </c>
      <c r="Q9" s="1">
        <v>24.5</v>
      </c>
      <c r="R9" s="1">
        <v>33.5</v>
      </c>
      <c r="S9" s="1">
        <v>45.0</v>
      </c>
      <c r="T9" s="2">
        <f t="shared" si="3"/>
        <v>39</v>
      </c>
      <c r="U9" s="1">
        <v>-6.5</v>
      </c>
      <c r="V9" s="1">
        <v>18.0</v>
      </c>
      <c r="W9" s="2">
        <f t="shared" si="4"/>
        <v>24.5</v>
      </c>
      <c r="X9" s="1">
        <v>4.0</v>
      </c>
      <c r="Y9" s="1" t="s">
        <v>48</v>
      </c>
    </row>
    <row r="10">
      <c r="A10" s="3" t="s">
        <v>49</v>
      </c>
      <c r="B10" s="1" t="s">
        <v>50</v>
      </c>
      <c r="C10" s="1">
        <v>21.0</v>
      </c>
      <c r="D10" s="1" t="s">
        <v>44</v>
      </c>
      <c r="E10" s="1"/>
      <c r="F10" s="1"/>
      <c r="G10" s="1"/>
      <c r="H10" s="1" t="s">
        <v>45</v>
      </c>
      <c r="K10" s="1">
        <v>1.0</v>
      </c>
      <c r="L10" s="2">
        <f t="shared" si="1"/>
        <v>107.3</v>
      </c>
      <c r="O10" s="1">
        <v>3.0</v>
      </c>
      <c r="P10" s="1">
        <f t="shared" si="2"/>
        <v>0</v>
      </c>
      <c r="Q10" s="1">
        <v>53.0</v>
      </c>
      <c r="R10" s="1">
        <v>105.0</v>
      </c>
      <c r="S10" s="1">
        <v>135.0</v>
      </c>
      <c r="T10" s="2">
        <f t="shared" si="3"/>
        <v>-2</v>
      </c>
      <c r="U10" s="1">
        <v>13.4</v>
      </c>
      <c r="V10" s="1">
        <v>13.0</v>
      </c>
      <c r="W10" s="2">
        <f t="shared" si="4"/>
        <v>-0.4</v>
      </c>
      <c r="X10" s="1">
        <v>3.5</v>
      </c>
      <c r="Y10" s="1" t="s">
        <v>48</v>
      </c>
    </row>
    <row r="11">
      <c r="A11" s="3" t="s">
        <v>51</v>
      </c>
      <c r="B11" s="1" t="s">
        <v>52</v>
      </c>
      <c r="C11" s="1">
        <v>22.0</v>
      </c>
      <c r="D11" s="1" t="s">
        <v>44</v>
      </c>
      <c r="E11" s="1"/>
      <c r="F11" s="1"/>
      <c r="G11" s="1"/>
      <c r="H11" s="1" t="s">
        <v>45</v>
      </c>
      <c r="I11" s="1"/>
      <c r="J11" s="1" t="s">
        <v>53</v>
      </c>
      <c r="K11" s="1">
        <v>1.0</v>
      </c>
      <c r="L11" s="2">
        <f t="shared" si="1"/>
        <v>655.5</v>
      </c>
      <c r="M11" s="1">
        <v>0.0</v>
      </c>
      <c r="N11" s="1">
        <v>0.0</v>
      </c>
      <c r="O11" s="1">
        <v>2.0</v>
      </c>
      <c r="P11" s="1">
        <f t="shared" si="2"/>
        <v>0</v>
      </c>
      <c r="Q11" s="1">
        <v>486.0</v>
      </c>
      <c r="R11" s="1">
        <v>644.0</v>
      </c>
      <c r="S11" s="1">
        <v>793.0</v>
      </c>
      <c r="T11" s="2">
        <f t="shared" si="3"/>
        <v>-2</v>
      </c>
      <c r="U11" s="1">
        <v>3.5</v>
      </c>
      <c r="V11" s="1">
        <v>21.0</v>
      </c>
      <c r="W11" s="2">
        <f t="shared" si="4"/>
        <v>17.5</v>
      </c>
      <c r="X11" s="1">
        <v>4.0</v>
      </c>
      <c r="Y11" s="1" t="s">
        <v>48</v>
      </c>
    </row>
    <row r="12">
      <c r="A12" s="4" t="s">
        <v>54</v>
      </c>
      <c r="B12" s="1" t="s">
        <v>55</v>
      </c>
      <c r="C12" s="1">
        <v>18.0</v>
      </c>
      <c r="D12" s="1" t="s">
        <v>44</v>
      </c>
      <c r="E12" s="1"/>
      <c r="F12" s="1"/>
      <c r="G12" s="1"/>
      <c r="H12" s="1" t="s">
        <v>45</v>
      </c>
      <c r="I12" s="1">
        <v>1.0</v>
      </c>
      <c r="K12" s="1">
        <v>1.0</v>
      </c>
      <c r="L12" s="2">
        <f t="shared" si="1"/>
        <v>67.65</v>
      </c>
      <c r="M12" s="1">
        <v>100.0</v>
      </c>
      <c r="N12" s="1">
        <v>0.0</v>
      </c>
      <c r="O12" s="1">
        <v>1.0</v>
      </c>
      <c r="P12" s="1">
        <f t="shared" si="2"/>
        <v>0</v>
      </c>
      <c r="Q12" s="1">
        <v>55.0</v>
      </c>
      <c r="R12" s="1">
        <v>87.0</v>
      </c>
      <c r="S12" s="1">
        <v>129.0</v>
      </c>
      <c r="T12" s="2">
        <f t="shared" si="3"/>
        <v>29</v>
      </c>
      <c r="U12" s="1">
        <v>7.8</v>
      </c>
      <c r="V12" s="1">
        <v>29.0</v>
      </c>
      <c r="W12" s="2">
        <f t="shared" si="4"/>
        <v>21.2</v>
      </c>
      <c r="X12" s="1">
        <v>3.5</v>
      </c>
      <c r="Y12" s="1" t="s">
        <v>48</v>
      </c>
    </row>
    <row r="13">
      <c r="A13" s="1" t="s">
        <v>56</v>
      </c>
      <c r="B13" s="1" t="s">
        <v>56</v>
      </c>
      <c r="C13" s="1">
        <v>21.0</v>
      </c>
      <c r="D13" s="1" t="s">
        <v>57</v>
      </c>
      <c r="E13" s="1"/>
      <c r="F13" s="1"/>
      <c r="G13" s="1"/>
      <c r="H13" s="1" t="s">
        <v>45</v>
      </c>
      <c r="K13" s="1" t="s">
        <v>58</v>
      </c>
      <c r="L13" s="2">
        <f t="shared" si="1"/>
        <v>164.72</v>
      </c>
      <c r="P13" s="1" t="str">
        <f t="shared" si="2"/>
        <v/>
      </c>
      <c r="T13" s="2" t="str">
        <f t="shared" si="3"/>
        <v/>
      </c>
      <c r="W13" s="2" t="str">
        <f t="shared" si="4"/>
        <v/>
      </c>
    </row>
    <row r="14">
      <c r="A14" s="3" t="s">
        <v>59</v>
      </c>
      <c r="B14" s="1" t="s">
        <v>60</v>
      </c>
      <c r="C14" s="1">
        <v>21.0</v>
      </c>
      <c r="D14" s="1" t="s">
        <v>61</v>
      </c>
      <c r="E14" s="1"/>
      <c r="F14" s="1"/>
      <c r="G14" s="1"/>
      <c r="H14" s="1" t="s">
        <v>45</v>
      </c>
      <c r="K14" s="1" t="s">
        <v>58</v>
      </c>
      <c r="L14" s="2">
        <f t="shared" si="1"/>
        <v>190.5</v>
      </c>
      <c r="P14" s="1" t="str">
        <f t="shared" si="2"/>
        <v/>
      </c>
      <c r="T14" s="2" t="str">
        <f t="shared" si="3"/>
        <v/>
      </c>
      <c r="W14" s="2" t="str">
        <f t="shared" si="4"/>
        <v/>
      </c>
    </row>
    <row r="15">
      <c r="A15" s="1" t="s">
        <v>62</v>
      </c>
      <c r="B15" s="1" t="s">
        <v>63</v>
      </c>
      <c r="C15" s="1">
        <v>21.0</v>
      </c>
      <c r="D15" s="1" t="s">
        <v>61</v>
      </c>
      <c r="E15" s="1"/>
      <c r="F15" s="1"/>
      <c r="G15" s="1"/>
      <c r="H15" s="1" t="s">
        <v>45</v>
      </c>
      <c r="K15" s="1" t="s">
        <v>58</v>
      </c>
      <c r="L15" s="2">
        <f t="shared" si="1"/>
        <v>20.52</v>
      </c>
      <c r="P15" s="1" t="str">
        <f t="shared" si="2"/>
        <v/>
      </c>
      <c r="T15" s="2" t="str">
        <f t="shared" si="3"/>
        <v/>
      </c>
      <c r="W15" s="2" t="str">
        <f t="shared" si="4"/>
        <v/>
      </c>
    </row>
    <row r="16">
      <c r="A16" s="4" t="s">
        <v>64</v>
      </c>
      <c r="B16" s="1" t="s">
        <v>65</v>
      </c>
      <c r="C16" s="1">
        <v>18.0</v>
      </c>
      <c r="D16" s="1" t="s">
        <v>61</v>
      </c>
      <c r="E16" s="1"/>
      <c r="F16" s="1"/>
      <c r="G16" s="1"/>
      <c r="H16" s="1" t="s">
        <v>45</v>
      </c>
      <c r="K16" s="1" t="s">
        <v>58</v>
      </c>
      <c r="L16" s="2">
        <f t="shared" si="1"/>
        <v>49.06</v>
      </c>
      <c r="P16" s="1" t="str">
        <f t="shared" si="2"/>
        <v/>
      </c>
      <c r="T16" s="2" t="str">
        <f t="shared" si="3"/>
        <v/>
      </c>
      <c r="W16" s="2" t="str">
        <f t="shared" si="4"/>
        <v/>
      </c>
    </row>
    <row r="17">
      <c r="A17" s="4" t="s">
        <v>66</v>
      </c>
      <c r="B17" s="3" t="s">
        <v>67</v>
      </c>
      <c r="C17" s="1">
        <v>18.0</v>
      </c>
      <c r="D17" s="1" t="s">
        <v>68</v>
      </c>
      <c r="E17" s="1"/>
      <c r="F17" s="1"/>
      <c r="G17" s="1"/>
      <c r="H17" s="1" t="s">
        <v>45</v>
      </c>
      <c r="J17" s="1" t="s">
        <v>69</v>
      </c>
      <c r="K17" s="1">
        <v>1.0</v>
      </c>
      <c r="L17" s="2">
        <f t="shared" si="1"/>
        <v>410.4</v>
      </c>
      <c r="M17" s="1">
        <v>0.0</v>
      </c>
      <c r="N17" s="1" t="s">
        <v>70</v>
      </c>
      <c r="O17" s="1">
        <v>1.0</v>
      </c>
      <c r="P17" s="1">
        <f t="shared" si="2"/>
        <v>56.6</v>
      </c>
      <c r="Q17" s="1">
        <v>467.0</v>
      </c>
      <c r="R17" s="1">
        <v>599.0</v>
      </c>
      <c r="S17" s="1">
        <v>811.0</v>
      </c>
      <c r="T17" s="2">
        <f t="shared" si="3"/>
        <v>46</v>
      </c>
      <c r="U17" s="1">
        <v>-3.0</v>
      </c>
      <c r="V17" s="1">
        <v>16.0</v>
      </c>
      <c r="W17" s="2">
        <f t="shared" si="4"/>
        <v>19</v>
      </c>
      <c r="X17" s="1">
        <v>4.0</v>
      </c>
      <c r="Y17" s="1" t="s">
        <v>48</v>
      </c>
    </row>
    <row r="18">
      <c r="A18" s="3" t="s">
        <v>71</v>
      </c>
      <c r="B18" s="1" t="s">
        <v>72</v>
      </c>
      <c r="C18" s="1">
        <v>20.0</v>
      </c>
      <c r="D18" s="1" t="s">
        <v>68</v>
      </c>
      <c r="E18" s="1"/>
      <c r="F18" s="1"/>
      <c r="G18" s="1"/>
      <c r="H18" s="1" t="s">
        <v>45</v>
      </c>
      <c r="I18" s="1"/>
      <c r="J18" s="1" t="s">
        <v>73</v>
      </c>
      <c r="K18" s="1">
        <v>1.0</v>
      </c>
      <c r="L18" s="2">
        <f t="shared" si="1"/>
        <v>499</v>
      </c>
      <c r="O18" s="1">
        <v>3.0</v>
      </c>
      <c r="P18" s="1">
        <f t="shared" si="2"/>
        <v>0</v>
      </c>
      <c r="Q18" s="1">
        <v>428.0</v>
      </c>
      <c r="R18" s="1">
        <v>534.0</v>
      </c>
      <c r="S18" s="1">
        <v>674.0</v>
      </c>
      <c r="T18" s="2">
        <f t="shared" si="3"/>
        <v>7</v>
      </c>
      <c r="U18" s="1">
        <v>5.0</v>
      </c>
      <c r="V18" s="1">
        <v>14.0</v>
      </c>
      <c r="W18" s="2">
        <f t="shared" si="4"/>
        <v>9</v>
      </c>
      <c r="X18" s="1">
        <v>4.0</v>
      </c>
      <c r="Y18" s="1" t="s">
        <v>48</v>
      </c>
    </row>
    <row r="19">
      <c r="A19" s="4" t="s">
        <v>74</v>
      </c>
      <c r="B19" s="1" t="s">
        <v>75</v>
      </c>
      <c r="C19" s="1">
        <v>16.0</v>
      </c>
      <c r="D19" s="1" t="s">
        <v>68</v>
      </c>
      <c r="E19" s="1"/>
      <c r="F19" s="1"/>
      <c r="G19" s="1"/>
      <c r="H19" s="1" t="s">
        <v>45</v>
      </c>
      <c r="I19" s="1">
        <v>1.0</v>
      </c>
      <c r="K19" s="1">
        <v>1.0</v>
      </c>
      <c r="L19" s="2">
        <f t="shared" si="1"/>
        <v>128.6</v>
      </c>
      <c r="O19" s="1">
        <v>3.0</v>
      </c>
      <c r="P19" s="1">
        <f t="shared" si="2"/>
        <v>0</v>
      </c>
      <c r="Q19" s="1">
        <v>79.0</v>
      </c>
      <c r="R19" s="1">
        <v>122.0</v>
      </c>
      <c r="S19" s="1">
        <v>174.0</v>
      </c>
      <c r="T19" s="2">
        <f t="shared" si="3"/>
        <v>-5</v>
      </c>
      <c r="U19" s="1">
        <v>3.0</v>
      </c>
      <c r="V19" s="1">
        <v>10.0</v>
      </c>
      <c r="W19" s="2">
        <f t="shared" si="4"/>
        <v>7</v>
      </c>
      <c r="X19" s="1">
        <v>3.5</v>
      </c>
      <c r="Y19" s="1" t="s">
        <v>48</v>
      </c>
    </row>
    <row r="20">
      <c r="A20" s="4" t="s">
        <v>76</v>
      </c>
      <c r="B20" s="4" t="s">
        <v>77</v>
      </c>
      <c r="C20" s="1">
        <v>14.0</v>
      </c>
      <c r="D20" s="1" t="s">
        <v>68</v>
      </c>
      <c r="E20" s="1"/>
      <c r="F20" s="1"/>
      <c r="G20" s="1"/>
      <c r="H20" s="1" t="s">
        <v>45</v>
      </c>
      <c r="I20" s="1">
        <v>1.0</v>
      </c>
      <c r="K20" s="1">
        <v>1.0</v>
      </c>
      <c r="L20" s="2">
        <f t="shared" si="1"/>
        <v>120.7</v>
      </c>
      <c r="M20" s="1">
        <v>100.0</v>
      </c>
      <c r="N20" s="1" t="s">
        <v>78</v>
      </c>
      <c r="O20" s="1">
        <v>1.0</v>
      </c>
      <c r="P20" s="1">
        <f t="shared" si="2"/>
        <v>30.3</v>
      </c>
      <c r="Q20" s="1">
        <v>151.0</v>
      </c>
      <c r="R20" s="1">
        <v>232.0</v>
      </c>
      <c r="S20" s="1">
        <v>301.0</v>
      </c>
      <c r="T20" s="2">
        <f t="shared" si="3"/>
        <v>92</v>
      </c>
      <c r="U20" s="1">
        <v>-10.0</v>
      </c>
      <c r="V20" s="1">
        <v>8.0</v>
      </c>
      <c r="W20" s="2">
        <f t="shared" si="4"/>
        <v>18</v>
      </c>
      <c r="X20" s="1">
        <v>4.0</v>
      </c>
      <c r="Y20" s="1" t="s">
        <v>48</v>
      </c>
    </row>
    <row r="21">
      <c r="A21" s="5" t="s">
        <v>79</v>
      </c>
      <c r="B21" s="1" t="s">
        <v>80</v>
      </c>
      <c r="C21" s="1">
        <v>18.0</v>
      </c>
      <c r="D21" s="1" t="s">
        <v>68</v>
      </c>
      <c r="E21" s="1"/>
      <c r="F21" s="1"/>
      <c r="G21" s="1"/>
      <c r="H21" s="1" t="s">
        <v>45</v>
      </c>
      <c r="J21" s="1">
        <v>700.0</v>
      </c>
      <c r="K21" s="1">
        <v>1.0</v>
      </c>
      <c r="L21" s="2">
        <f t="shared" si="1"/>
        <v>14.23</v>
      </c>
      <c r="M21" s="1">
        <v>0.0</v>
      </c>
      <c r="N21" s="1">
        <v>700.0</v>
      </c>
      <c r="O21" s="1">
        <v>2.0</v>
      </c>
      <c r="P21" s="1">
        <f t="shared" si="2"/>
        <v>0</v>
      </c>
      <c r="Q21" s="1">
        <v>13.6</v>
      </c>
      <c r="R21" s="1">
        <v>15.7</v>
      </c>
      <c r="S21" s="1">
        <v>27.3</v>
      </c>
      <c r="T21" s="2">
        <f t="shared" si="3"/>
        <v>10</v>
      </c>
      <c r="U21" s="1">
        <v>-10.0</v>
      </c>
      <c r="V21" s="1">
        <v>7.0</v>
      </c>
      <c r="W21" s="2">
        <f t="shared" si="4"/>
        <v>17</v>
      </c>
      <c r="X21" s="1">
        <v>4.0</v>
      </c>
      <c r="Y21" s="1" t="s">
        <v>48</v>
      </c>
    </row>
    <row r="22">
      <c r="A22" s="4" t="s">
        <v>81</v>
      </c>
      <c r="B22" s="1" t="s">
        <v>82</v>
      </c>
      <c r="C22" s="1">
        <v>18.0</v>
      </c>
      <c r="D22" s="1" t="s">
        <v>83</v>
      </c>
      <c r="E22" s="1"/>
      <c r="F22" s="1"/>
      <c r="G22" s="1"/>
      <c r="H22" s="1" t="s">
        <v>45</v>
      </c>
      <c r="J22" s="1" t="s">
        <v>84</v>
      </c>
      <c r="K22" s="1">
        <v>1.0</v>
      </c>
      <c r="L22" s="2">
        <f t="shared" si="1"/>
        <v>125</v>
      </c>
      <c r="M22" s="1">
        <v>0.0</v>
      </c>
      <c r="N22" s="1">
        <v>830.0</v>
      </c>
      <c r="O22" s="1">
        <v>2.0</v>
      </c>
      <c r="P22" s="1">
        <f t="shared" si="2"/>
        <v>0</v>
      </c>
      <c r="Q22" s="1">
        <v>122.0</v>
      </c>
      <c r="R22" s="1">
        <v>151.0</v>
      </c>
      <c r="S22" s="1">
        <v>184.0</v>
      </c>
      <c r="T22" s="2">
        <f t="shared" si="3"/>
        <v>21</v>
      </c>
      <c r="U22" s="1">
        <v>-6.0</v>
      </c>
      <c r="V22" s="1">
        <v>12.0</v>
      </c>
      <c r="W22" s="2">
        <f t="shared" si="4"/>
        <v>18</v>
      </c>
      <c r="X22" s="1">
        <v>4.0</v>
      </c>
      <c r="Y22" s="1" t="s">
        <v>48</v>
      </c>
    </row>
    <row r="23">
      <c r="A23" s="3" t="s">
        <v>85</v>
      </c>
      <c r="B23" s="1" t="s">
        <v>86</v>
      </c>
      <c r="C23" s="1">
        <v>23.0</v>
      </c>
      <c r="D23" s="1" t="s">
        <v>83</v>
      </c>
      <c r="E23" s="1"/>
      <c r="F23" s="1"/>
      <c r="G23" s="1"/>
      <c r="H23" s="1" t="s">
        <v>45</v>
      </c>
      <c r="I23" s="1">
        <v>1.0</v>
      </c>
      <c r="K23" s="1">
        <v>1.0</v>
      </c>
      <c r="L23" s="2">
        <f t="shared" si="1"/>
        <v>38.56</v>
      </c>
      <c r="M23" s="1">
        <v>100.0</v>
      </c>
      <c r="N23" s="1" t="s">
        <v>87</v>
      </c>
      <c r="O23" s="1">
        <v>1.0</v>
      </c>
      <c r="P23" s="1">
        <f t="shared" si="2"/>
        <v>8.44</v>
      </c>
      <c r="Q23" s="1">
        <v>47.0</v>
      </c>
      <c r="R23" s="1">
        <v>63.5</v>
      </c>
      <c r="S23" s="1">
        <v>77.0</v>
      </c>
      <c r="T23" s="2">
        <f t="shared" si="3"/>
        <v>65</v>
      </c>
      <c r="U23" s="1">
        <v>-7.8</v>
      </c>
      <c r="V23" s="1">
        <v>13.0</v>
      </c>
      <c r="W23" s="2">
        <f t="shared" si="4"/>
        <v>20.8</v>
      </c>
      <c r="X23" s="1">
        <v>4.0</v>
      </c>
      <c r="Y23" s="1" t="s">
        <v>48</v>
      </c>
    </row>
    <row r="24">
      <c r="A24" s="3" t="s">
        <v>88</v>
      </c>
      <c r="B24" s="1" t="s">
        <v>89</v>
      </c>
      <c r="C24" s="1">
        <v>21.0</v>
      </c>
      <c r="D24" s="1" t="s">
        <v>83</v>
      </c>
      <c r="E24" s="1"/>
      <c r="F24" s="1"/>
      <c r="G24" s="1"/>
      <c r="H24" s="1" t="s">
        <v>45</v>
      </c>
      <c r="J24" s="1">
        <v>2200.0</v>
      </c>
      <c r="K24" s="1">
        <v>1.0</v>
      </c>
      <c r="L24" s="2">
        <f t="shared" si="1"/>
        <v>177.7</v>
      </c>
      <c r="M24" s="1">
        <v>0.0</v>
      </c>
      <c r="N24" s="1" t="s">
        <v>90</v>
      </c>
      <c r="O24" s="1">
        <v>2.0</v>
      </c>
      <c r="P24" s="1">
        <f t="shared" si="2"/>
        <v>0</v>
      </c>
      <c r="Q24" s="1">
        <v>166.0</v>
      </c>
      <c r="R24" s="1">
        <v>215.0</v>
      </c>
      <c r="S24" s="1">
        <v>263.0</v>
      </c>
      <c r="T24" s="2">
        <f t="shared" si="3"/>
        <v>21</v>
      </c>
      <c r="U24" s="1">
        <v>-2.0</v>
      </c>
      <c r="V24" s="1">
        <v>10.0</v>
      </c>
      <c r="W24" s="2">
        <f t="shared" si="4"/>
        <v>12</v>
      </c>
      <c r="X24" s="1">
        <v>4.0</v>
      </c>
      <c r="Y24" s="1" t="s">
        <v>48</v>
      </c>
    </row>
    <row r="25">
      <c r="A25" s="4" t="s">
        <v>91</v>
      </c>
      <c r="B25" s="1" t="s">
        <v>92</v>
      </c>
      <c r="C25" s="1">
        <v>19.0</v>
      </c>
      <c r="D25" s="1" t="s">
        <v>83</v>
      </c>
      <c r="E25" s="1"/>
      <c r="F25" s="1"/>
      <c r="G25" s="1"/>
      <c r="H25" s="1" t="s">
        <v>45</v>
      </c>
      <c r="K25" s="1">
        <v>1.0</v>
      </c>
      <c r="L25" s="2">
        <f t="shared" si="1"/>
        <v>16.77</v>
      </c>
      <c r="O25" s="1">
        <v>3.0</v>
      </c>
      <c r="P25" s="1">
        <f t="shared" si="2"/>
        <v>0</v>
      </c>
      <c r="Q25" s="1">
        <v>12.9</v>
      </c>
      <c r="R25" s="1">
        <v>19.0</v>
      </c>
      <c r="S25" s="1">
        <v>24.0</v>
      </c>
      <c r="T25" s="2">
        <f t="shared" si="3"/>
        <v>13</v>
      </c>
      <c r="U25" s="1">
        <v>5.0</v>
      </c>
      <c r="V25" s="1">
        <v>15.0</v>
      </c>
      <c r="W25" s="2">
        <f t="shared" si="4"/>
        <v>10</v>
      </c>
      <c r="X25" s="1">
        <v>3.5</v>
      </c>
      <c r="Y25" s="1" t="s">
        <v>48</v>
      </c>
    </row>
    <row r="26">
      <c r="A26" s="3" t="s">
        <v>93</v>
      </c>
      <c r="B26" s="1" t="s">
        <v>94</v>
      </c>
      <c r="C26" s="1">
        <v>18.0</v>
      </c>
      <c r="D26" s="1" t="s">
        <v>83</v>
      </c>
      <c r="E26" s="1"/>
      <c r="F26" s="1"/>
      <c r="G26" s="1"/>
      <c r="H26" s="1" t="s">
        <v>45</v>
      </c>
      <c r="K26" s="1">
        <v>1.0</v>
      </c>
      <c r="L26" s="2">
        <f t="shared" si="1"/>
        <v>63.95</v>
      </c>
      <c r="O26" s="1">
        <v>3.0</v>
      </c>
      <c r="P26" s="1">
        <f t="shared" si="2"/>
        <v>0</v>
      </c>
      <c r="Q26" s="1">
        <v>46.0</v>
      </c>
      <c r="R26" s="1">
        <v>65.0</v>
      </c>
      <c r="S26" s="1">
        <v>84.0</v>
      </c>
      <c r="T26" s="2">
        <f t="shared" si="3"/>
        <v>2</v>
      </c>
      <c r="U26" s="1">
        <v>6.0</v>
      </c>
      <c r="V26" s="1">
        <v>14.0</v>
      </c>
      <c r="W26" s="2">
        <f t="shared" si="4"/>
        <v>8</v>
      </c>
      <c r="X26" s="1">
        <v>3.5</v>
      </c>
      <c r="Y26" s="1" t="s">
        <v>48</v>
      </c>
    </row>
    <row r="27">
      <c r="A27" s="4" t="s">
        <v>95</v>
      </c>
      <c r="B27" s="1" t="s">
        <v>96</v>
      </c>
      <c r="C27" s="1">
        <v>20.0</v>
      </c>
      <c r="D27" s="1" t="s">
        <v>83</v>
      </c>
      <c r="E27" s="1"/>
      <c r="F27" s="1"/>
      <c r="G27" s="1"/>
      <c r="H27" s="1" t="s">
        <v>45</v>
      </c>
      <c r="I27" s="1">
        <v>1.0</v>
      </c>
      <c r="K27" s="1">
        <v>1.0</v>
      </c>
      <c r="L27" s="2">
        <f t="shared" si="1"/>
        <v>193.7</v>
      </c>
      <c r="M27" s="1">
        <v>40.0</v>
      </c>
      <c r="N27" s="1">
        <v>0.0</v>
      </c>
      <c r="O27" s="1">
        <v>2.0</v>
      </c>
      <c r="P27" s="1">
        <f t="shared" si="2"/>
        <v>0</v>
      </c>
      <c r="Q27" s="1">
        <v>161.0</v>
      </c>
      <c r="R27" s="1">
        <v>243.0</v>
      </c>
      <c r="S27" s="1">
        <v>332.0</v>
      </c>
      <c r="T27" s="2">
        <f t="shared" si="3"/>
        <v>25</v>
      </c>
      <c r="U27" s="1">
        <v>0.5</v>
      </c>
      <c r="V27" s="1">
        <v>10.0</v>
      </c>
      <c r="W27" s="2">
        <f t="shared" si="4"/>
        <v>9.5</v>
      </c>
      <c r="X27" s="1">
        <v>4.0</v>
      </c>
      <c r="Y27" s="1" t="s">
        <v>48</v>
      </c>
    </row>
    <row r="28">
      <c r="A28" s="1" t="s">
        <v>97</v>
      </c>
      <c r="C28" s="1">
        <v>22.0</v>
      </c>
      <c r="D28" s="1" t="s">
        <v>98</v>
      </c>
      <c r="E28" s="1"/>
      <c r="F28" s="1"/>
      <c r="G28" s="1"/>
      <c r="H28" s="1" t="s">
        <v>99</v>
      </c>
      <c r="I28" s="1">
        <v>1.0</v>
      </c>
      <c r="K28" s="1">
        <v>1.0</v>
      </c>
      <c r="L28" s="2">
        <f t="shared" si="1"/>
        <v>131.01</v>
      </c>
      <c r="M28" s="1">
        <v>20.0</v>
      </c>
      <c r="N28" s="1" t="s">
        <v>100</v>
      </c>
      <c r="O28" s="1">
        <v>2.0</v>
      </c>
      <c r="P28" s="1">
        <f t="shared" si="2"/>
        <v>0</v>
      </c>
      <c r="Q28" s="1">
        <v>118.0</v>
      </c>
      <c r="R28" s="1">
        <v>161.0</v>
      </c>
      <c r="S28" s="1">
        <v>203.0</v>
      </c>
      <c r="T28" s="2">
        <f t="shared" si="3"/>
        <v>23</v>
      </c>
      <c r="U28" s="1">
        <v>9.5</v>
      </c>
      <c r="V28" s="1">
        <v>23.0</v>
      </c>
      <c r="W28" s="2">
        <f t="shared" si="4"/>
        <v>13.5</v>
      </c>
      <c r="X28" s="1">
        <v>4.0</v>
      </c>
      <c r="Y28" s="1" t="s">
        <v>48</v>
      </c>
    </row>
    <row r="29">
      <c r="A29" s="1" t="s">
        <v>101</v>
      </c>
      <c r="C29" s="1">
        <v>22.0</v>
      </c>
      <c r="D29" s="1" t="s">
        <v>98</v>
      </c>
      <c r="E29" s="1"/>
      <c r="F29" s="1"/>
      <c r="G29" s="1"/>
      <c r="H29" s="1" t="s">
        <v>99</v>
      </c>
      <c r="I29" s="1">
        <v>1.0</v>
      </c>
      <c r="K29" s="1">
        <v>1.0</v>
      </c>
      <c r="L29" s="2">
        <f t="shared" si="1"/>
        <v>51.36</v>
      </c>
      <c r="M29" s="1" t="s">
        <v>102</v>
      </c>
      <c r="N29" s="1" t="s">
        <v>103</v>
      </c>
      <c r="O29" s="1">
        <v>2.0</v>
      </c>
      <c r="P29" s="1">
        <f t="shared" si="2"/>
        <v>0</v>
      </c>
      <c r="Q29" s="1">
        <v>35.0</v>
      </c>
      <c r="R29" s="1">
        <v>57.0</v>
      </c>
      <c r="S29" s="1">
        <v>88.0</v>
      </c>
      <c r="T29" s="2">
        <f t="shared" si="3"/>
        <v>11</v>
      </c>
      <c r="U29" s="1">
        <v>10.0</v>
      </c>
      <c r="V29" s="1">
        <v>25.0</v>
      </c>
      <c r="W29" s="2">
        <f t="shared" si="4"/>
        <v>15</v>
      </c>
      <c r="X29" s="1">
        <v>3.5</v>
      </c>
      <c r="Y29" s="1" t="s">
        <v>48</v>
      </c>
    </row>
    <row r="30">
      <c r="A30" s="1" t="s">
        <v>104</v>
      </c>
      <c r="C30" s="1">
        <v>21.0</v>
      </c>
      <c r="D30" s="1" t="s">
        <v>98</v>
      </c>
      <c r="E30" s="1"/>
      <c r="F30" s="1"/>
      <c r="G30" s="1"/>
      <c r="H30" s="1" t="s">
        <v>99</v>
      </c>
      <c r="I30" s="1">
        <v>1.0</v>
      </c>
      <c r="K30" s="1">
        <v>1.0</v>
      </c>
      <c r="L30" s="2">
        <f t="shared" si="1"/>
        <v>411.16</v>
      </c>
      <c r="O30" s="1">
        <v>3.0</v>
      </c>
      <c r="P30" s="1">
        <f t="shared" si="2"/>
        <v>0</v>
      </c>
      <c r="Q30" s="1">
        <v>155.0</v>
      </c>
      <c r="R30" s="1">
        <v>236.0</v>
      </c>
      <c r="S30" s="1">
        <v>330.0</v>
      </c>
      <c r="T30" s="2">
        <f t="shared" si="3"/>
        <v>-43</v>
      </c>
      <c r="U30" s="1">
        <v>23.0</v>
      </c>
      <c r="V30" s="1">
        <v>22.0</v>
      </c>
      <c r="W30" s="2">
        <f t="shared" si="4"/>
        <v>-1</v>
      </c>
      <c r="X30" s="1">
        <v>4.0</v>
      </c>
      <c r="Y30" s="1" t="s">
        <v>48</v>
      </c>
    </row>
    <row r="31">
      <c r="A31" s="1" t="s">
        <v>105</v>
      </c>
      <c r="C31" s="1">
        <v>21.0</v>
      </c>
      <c r="D31" s="1" t="s">
        <v>98</v>
      </c>
      <c r="E31" s="1"/>
      <c r="F31" s="1"/>
      <c r="G31" s="1"/>
      <c r="H31" s="1" t="s">
        <v>99</v>
      </c>
      <c r="I31" s="1">
        <v>1.0</v>
      </c>
      <c r="K31" s="1">
        <v>1.0</v>
      </c>
      <c r="L31" s="2">
        <f t="shared" si="1"/>
        <v>164.11</v>
      </c>
      <c r="O31" s="1">
        <v>3.0</v>
      </c>
      <c r="P31" s="1">
        <f t="shared" si="2"/>
        <v>0</v>
      </c>
      <c r="Q31" s="1">
        <v>100.0</v>
      </c>
      <c r="R31" s="1">
        <v>150.0</v>
      </c>
      <c r="S31" s="1">
        <v>186.0</v>
      </c>
      <c r="T31" s="2">
        <f t="shared" si="3"/>
        <v>-9</v>
      </c>
      <c r="U31" s="1">
        <v>11.5</v>
      </c>
      <c r="V31" s="1">
        <v>22.0</v>
      </c>
      <c r="W31" s="2">
        <f t="shared" si="4"/>
        <v>10.5</v>
      </c>
      <c r="X31" s="1">
        <v>3.0</v>
      </c>
      <c r="Y31" s="1" t="s">
        <v>48</v>
      </c>
    </row>
    <row r="32">
      <c r="A32" s="1" t="s">
        <v>106</v>
      </c>
      <c r="C32" s="1">
        <v>18.0</v>
      </c>
      <c r="D32" s="1" t="s">
        <v>98</v>
      </c>
      <c r="E32" s="1"/>
      <c r="F32" s="1"/>
      <c r="G32" s="1"/>
      <c r="H32" s="1" t="s">
        <v>99</v>
      </c>
      <c r="I32" s="1">
        <v>1.0</v>
      </c>
      <c r="K32" s="1">
        <v>1.0</v>
      </c>
      <c r="L32" s="2">
        <f t="shared" si="1"/>
        <v>190.13</v>
      </c>
      <c r="O32" s="1">
        <v>4.0</v>
      </c>
      <c r="P32" s="1">
        <f t="shared" si="2"/>
        <v>0</v>
      </c>
      <c r="Q32" s="1">
        <v>38.0</v>
      </c>
      <c r="R32" s="1">
        <v>65.0</v>
      </c>
      <c r="S32" s="1">
        <v>110.0</v>
      </c>
      <c r="T32" s="2">
        <f t="shared" si="3"/>
        <v>-66</v>
      </c>
      <c r="U32" s="1">
        <v>33.0</v>
      </c>
      <c r="V32" s="1">
        <v>28.0</v>
      </c>
      <c r="W32" s="2">
        <f t="shared" si="4"/>
        <v>-5</v>
      </c>
      <c r="X32" s="1">
        <v>4.0</v>
      </c>
      <c r="Y32" s="1" t="s">
        <v>48</v>
      </c>
    </row>
    <row r="33">
      <c r="A33" s="1" t="s">
        <v>107</v>
      </c>
      <c r="C33" s="1">
        <v>20.0</v>
      </c>
      <c r="D33" s="1" t="s">
        <v>108</v>
      </c>
      <c r="E33" s="1"/>
      <c r="F33" s="1"/>
      <c r="G33" s="1"/>
      <c r="H33" s="1" t="s">
        <v>30</v>
      </c>
      <c r="I33" s="1">
        <v>1.0</v>
      </c>
      <c r="K33" s="1">
        <v>0.0</v>
      </c>
      <c r="L33" s="2">
        <f t="shared" si="1"/>
        <v>142.15</v>
      </c>
      <c r="O33" s="1">
        <v>4.0</v>
      </c>
      <c r="P33" s="1">
        <f t="shared" si="2"/>
        <v>0</v>
      </c>
      <c r="Q33" s="1">
        <v>28.0</v>
      </c>
      <c r="R33" s="1">
        <v>45.0</v>
      </c>
      <c r="S33" s="1">
        <v>66.0</v>
      </c>
      <c r="T33" s="2">
        <f t="shared" si="3"/>
        <v>-68</v>
      </c>
      <c r="U33" s="1">
        <v>39.0</v>
      </c>
      <c r="V33" s="1">
        <v>40.0</v>
      </c>
      <c r="W33" s="2">
        <f t="shared" si="4"/>
        <v>1</v>
      </c>
      <c r="X33" s="1">
        <v>4.0</v>
      </c>
      <c r="Y33" s="1" t="s">
        <v>31</v>
      </c>
    </row>
    <row r="34">
      <c r="A34" s="1" t="s">
        <v>109</v>
      </c>
      <c r="C34" s="1">
        <v>20.0</v>
      </c>
      <c r="D34" s="1" t="s">
        <v>108</v>
      </c>
      <c r="E34" s="1"/>
      <c r="F34" s="1"/>
      <c r="G34" s="1"/>
      <c r="H34" s="1" t="s">
        <v>30</v>
      </c>
      <c r="I34" s="1">
        <v>1.0</v>
      </c>
      <c r="K34" s="1">
        <v>0.0</v>
      </c>
      <c r="L34" s="2">
        <f t="shared" si="1"/>
        <v>144.48</v>
      </c>
      <c r="O34" s="1">
        <v>3.0</v>
      </c>
      <c r="P34" s="1">
        <f t="shared" si="2"/>
        <v>0</v>
      </c>
      <c r="Q34" s="1">
        <v>103.0</v>
      </c>
      <c r="R34" s="1">
        <v>137.0</v>
      </c>
      <c r="S34" s="1">
        <v>176.0</v>
      </c>
      <c r="T34" s="2">
        <f t="shared" si="3"/>
        <v>-5</v>
      </c>
      <c r="U34" s="1">
        <v>13.2</v>
      </c>
      <c r="V34" s="1">
        <v>20.0</v>
      </c>
      <c r="W34" s="2">
        <f t="shared" si="4"/>
        <v>6.8</v>
      </c>
      <c r="X34" s="1">
        <v>3.5</v>
      </c>
      <c r="Y34" s="1" t="s">
        <v>31</v>
      </c>
    </row>
    <row r="35">
      <c r="A35" s="1" t="s">
        <v>110</v>
      </c>
      <c r="C35" s="1">
        <v>20.0</v>
      </c>
      <c r="D35" s="1" t="s">
        <v>108</v>
      </c>
      <c r="E35" s="1"/>
      <c r="F35" s="1"/>
      <c r="G35" s="1"/>
      <c r="H35" s="1" t="s">
        <v>30</v>
      </c>
      <c r="K35" s="1">
        <v>0.0</v>
      </c>
      <c r="L35" s="2">
        <f t="shared" si="1"/>
        <v>94.19</v>
      </c>
      <c r="O35" s="1">
        <v>2.0</v>
      </c>
      <c r="P35" s="1">
        <f t="shared" si="2"/>
        <v>21.81</v>
      </c>
      <c r="Q35" s="1">
        <v>116.0</v>
      </c>
      <c r="R35" s="1">
        <v>158.0</v>
      </c>
      <c r="S35" s="1">
        <v>196.0</v>
      </c>
      <c r="T35" s="2">
        <f t="shared" si="3"/>
        <v>68</v>
      </c>
      <c r="U35" s="1">
        <v>0.7</v>
      </c>
      <c r="V35" s="1">
        <v>11.0</v>
      </c>
      <c r="W35" s="2">
        <f t="shared" si="4"/>
        <v>10.3</v>
      </c>
      <c r="X35" s="1">
        <v>4.0</v>
      </c>
      <c r="Y35" s="1" t="s">
        <v>31</v>
      </c>
    </row>
    <row r="36">
      <c r="A36" s="1" t="s">
        <v>111</v>
      </c>
      <c r="C36" s="1">
        <v>20.0</v>
      </c>
      <c r="D36" s="1" t="s">
        <v>108</v>
      </c>
      <c r="E36" s="1"/>
      <c r="F36" s="1"/>
      <c r="G36" s="1"/>
      <c r="H36" s="1" t="s">
        <v>30</v>
      </c>
      <c r="L36" s="2">
        <f t="shared" si="1"/>
        <v>167.3</v>
      </c>
      <c r="P36" s="1" t="str">
        <f t="shared" si="2"/>
        <v/>
      </c>
      <c r="T36" s="2" t="str">
        <f t="shared" si="3"/>
        <v/>
      </c>
      <c r="W36" s="2" t="str">
        <f t="shared" si="4"/>
        <v/>
      </c>
    </row>
    <row r="37">
      <c r="A37" s="1" t="s">
        <v>112</v>
      </c>
      <c r="C37" s="1">
        <v>19.0</v>
      </c>
      <c r="D37" s="1" t="s">
        <v>108</v>
      </c>
      <c r="E37" s="1"/>
      <c r="F37" s="1"/>
      <c r="G37" s="1"/>
      <c r="H37" s="1" t="s">
        <v>30</v>
      </c>
      <c r="L37" s="2">
        <f t="shared" si="1"/>
        <v>42.75</v>
      </c>
      <c r="P37" s="1" t="str">
        <f t="shared" si="2"/>
        <v/>
      </c>
      <c r="T37" s="2" t="str">
        <f t="shared" si="3"/>
        <v/>
      </c>
      <c r="W37" s="2" t="str">
        <f t="shared" si="4"/>
        <v/>
      </c>
    </row>
    <row r="38">
      <c r="A38" s="1" t="s">
        <v>32</v>
      </c>
      <c r="C38" s="1">
        <v>20.0</v>
      </c>
      <c r="D38" s="1" t="s">
        <v>108</v>
      </c>
      <c r="E38" s="1"/>
      <c r="F38" s="1"/>
      <c r="G38" s="1"/>
      <c r="H38" s="1" t="s">
        <v>30</v>
      </c>
      <c r="L38" s="2">
        <f t="shared" si="1"/>
        <v>17.37</v>
      </c>
      <c r="P38" s="1" t="str">
        <f t="shared" si="2"/>
        <v/>
      </c>
      <c r="T38" s="2" t="str">
        <f t="shared" si="3"/>
        <v/>
      </c>
      <c r="W38" s="2" t="str">
        <f t="shared" si="4"/>
        <v/>
      </c>
    </row>
    <row r="39">
      <c r="A39" s="1" t="s">
        <v>113</v>
      </c>
      <c r="C39" s="1">
        <v>19.0</v>
      </c>
      <c r="D39" s="1" t="s">
        <v>108</v>
      </c>
      <c r="E39" s="1"/>
      <c r="F39" s="1"/>
      <c r="G39" s="1"/>
      <c r="H39" s="1" t="s">
        <v>30</v>
      </c>
      <c r="L39" s="2">
        <f t="shared" si="1"/>
        <v>1030.81</v>
      </c>
      <c r="P39" s="1" t="str">
        <f t="shared" si="2"/>
        <v/>
      </c>
      <c r="T39" s="2" t="str">
        <f t="shared" si="3"/>
        <v/>
      </c>
      <c r="W39" s="2" t="str">
        <f t="shared" si="4"/>
        <v/>
      </c>
    </row>
    <row r="40">
      <c r="A40" s="1" t="s">
        <v>114</v>
      </c>
      <c r="C40" s="1">
        <v>18.0</v>
      </c>
      <c r="D40" s="1" t="s">
        <v>108</v>
      </c>
      <c r="E40" s="1"/>
      <c r="F40" s="1"/>
      <c r="G40" s="1"/>
      <c r="H40" s="1" t="s">
        <v>30</v>
      </c>
      <c r="L40" s="2">
        <f t="shared" si="1"/>
        <v>244.06</v>
      </c>
      <c r="P40" s="1" t="str">
        <f t="shared" si="2"/>
        <v/>
      </c>
      <c r="T40" s="2" t="str">
        <f t="shared" si="3"/>
        <v/>
      </c>
      <c r="W40" s="2" t="str">
        <f t="shared" si="4"/>
        <v/>
      </c>
    </row>
    <row r="41">
      <c r="A41" s="1" t="s">
        <v>115</v>
      </c>
      <c r="C41" s="1">
        <v>18.0</v>
      </c>
      <c r="D41" s="1" t="s">
        <v>108</v>
      </c>
      <c r="E41" s="1"/>
      <c r="F41" s="1"/>
      <c r="G41" s="1"/>
      <c r="H41" s="1" t="s">
        <v>30</v>
      </c>
      <c r="L41" s="2">
        <f t="shared" si="1"/>
        <v>134.07</v>
      </c>
      <c r="P41" s="1" t="str">
        <f t="shared" si="2"/>
        <v/>
      </c>
      <c r="T41" s="2" t="str">
        <f t="shared" si="3"/>
        <v/>
      </c>
      <c r="W41" s="2" t="str">
        <f t="shared" si="4"/>
        <v/>
      </c>
    </row>
    <row r="42">
      <c r="A42" s="1" t="s">
        <v>116</v>
      </c>
      <c r="C42" s="1">
        <v>18.0</v>
      </c>
      <c r="D42" s="1" t="s">
        <v>108</v>
      </c>
      <c r="E42" s="1"/>
      <c r="F42" s="1"/>
      <c r="G42" s="1"/>
      <c r="H42" s="1" t="s">
        <v>30</v>
      </c>
      <c r="K42" s="1" t="s">
        <v>58</v>
      </c>
      <c r="L42" s="2">
        <f t="shared" si="1"/>
        <v>177.6</v>
      </c>
      <c r="P42" s="1" t="str">
        <f t="shared" si="2"/>
        <v/>
      </c>
      <c r="T42" s="2" t="str">
        <f t="shared" si="3"/>
        <v/>
      </c>
      <c r="W42" s="2" t="str">
        <f t="shared" si="4"/>
        <v/>
      </c>
    </row>
    <row r="43">
      <c r="A43" s="1" t="s">
        <v>117</v>
      </c>
      <c r="B43" s="1" t="s">
        <v>118</v>
      </c>
      <c r="C43" s="1">
        <v>18.0</v>
      </c>
      <c r="D43" s="1" t="s">
        <v>119</v>
      </c>
      <c r="E43" s="1"/>
      <c r="F43" s="1"/>
      <c r="G43" s="1"/>
      <c r="H43" s="1" t="s">
        <v>30</v>
      </c>
      <c r="J43" s="1" t="s">
        <v>120</v>
      </c>
      <c r="K43" s="1" t="s">
        <v>58</v>
      </c>
      <c r="L43" s="2">
        <f t="shared" si="1"/>
        <v>213.84</v>
      </c>
      <c r="P43" s="1" t="str">
        <f t="shared" si="2"/>
        <v/>
      </c>
      <c r="T43" s="2" t="str">
        <f t="shared" si="3"/>
        <v/>
      </c>
      <c r="W43" s="2" t="str">
        <f t="shared" si="4"/>
        <v/>
      </c>
    </row>
    <row r="44">
      <c r="A44" s="1" t="s">
        <v>121</v>
      </c>
      <c r="B44" s="1" t="s">
        <v>122</v>
      </c>
      <c r="C44" s="1">
        <v>21.0</v>
      </c>
      <c r="D44" s="1" t="s">
        <v>119</v>
      </c>
      <c r="E44" s="1" t="s">
        <v>123</v>
      </c>
      <c r="F44" s="1"/>
      <c r="G44" s="1" t="s">
        <v>124</v>
      </c>
      <c r="H44" s="1" t="s">
        <v>30</v>
      </c>
      <c r="J44" s="1" t="s">
        <v>125</v>
      </c>
      <c r="K44" s="1" t="s">
        <v>58</v>
      </c>
      <c r="L44" s="2">
        <f t="shared" si="1"/>
        <v>294.73</v>
      </c>
      <c r="P44" s="1" t="str">
        <f t="shared" si="2"/>
        <v/>
      </c>
      <c r="T44" s="2" t="str">
        <f t="shared" si="3"/>
        <v/>
      </c>
      <c r="W44" s="2" t="str">
        <f t="shared" si="4"/>
        <v/>
      </c>
    </row>
    <row r="45">
      <c r="A45" s="1" t="s">
        <v>126</v>
      </c>
      <c r="B45" s="1" t="s">
        <v>127</v>
      </c>
      <c r="C45" s="1">
        <v>22.0</v>
      </c>
      <c r="D45" s="1" t="s">
        <v>119</v>
      </c>
      <c r="E45" s="1"/>
      <c r="F45" s="1"/>
      <c r="G45" s="1"/>
      <c r="H45" s="1" t="s">
        <v>30</v>
      </c>
      <c r="L45" s="2">
        <f t="shared" si="1"/>
        <v>301.16</v>
      </c>
      <c r="P45" s="1" t="str">
        <f t="shared" si="2"/>
        <v/>
      </c>
      <c r="T45" s="2" t="str">
        <f t="shared" si="3"/>
        <v/>
      </c>
      <c r="W45" s="2" t="str">
        <f t="shared" si="4"/>
        <v/>
      </c>
    </row>
    <row r="46">
      <c r="A46" s="1" t="s">
        <v>128</v>
      </c>
      <c r="B46" s="1" t="s">
        <v>129</v>
      </c>
      <c r="C46" s="1">
        <v>19.0</v>
      </c>
      <c r="D46" s="1" t="s">
        <v>119</v>
      </c>
      <c r="E46" s="1" t="s">
        <v>123</v>
      </c>
      <c r="F46" s="1"/>
      <c r="G46" s="1" t="s">
        <v>130</v>
      </c>
      <c r="H46" s="1" t="s">
        <v>30</v>
      </c>
      <c r="K46" s="1" t="s">
        <v>58</v>
      </c>
      <c r="L46" s="2">
        <f t="shared" si="1"/>
        <v>985.92</v>
      </c>
      <c r="P46" s="1" t="str">
        <f t="shared" si="2"/>
        <v/>
      </c>
      <c r="T46" s="2" t="str">
        <f t="shared" si="3"/>
        <v/>
      </c>
      <c r="W46" s="2" t="str">
        <f t="shared" si="4"/>
        <v/>
      </c>
    </row>
    <row r="47">
      <c r="A47" s="1" t="s">
        <v>131</v>
      </c>
      <c r="B47" s="1" t="s">
        <v>132</v>
      </c>
      <c r="C47" s="1">
        <v>20.0</v>
      </c>
      <c r="D47" s="1" t="s">
        <v>119</v>
      </c>
      <c r="E47" s="1"/>
      <c r="F47" s="1"/>
      <c r="G47" s="1"/>
      <c r="H47" s="1" t="s">
        <v>30</v>
      </c>
      <c r="L47" s="2">
        <f t="shared" si="1"/>
        <v>1648.96</v>
      </c>
      <c r="P47" s="1" t="str">
        <f t="shared" si="2"/>
        <v/>
      </c>
      <c r="T47" s="2" t="str">
        <f t="shared" si="3"/>
        <v/>
      </c>
      <c r="W47" s="2" t="str">
        <f t="shared" si="4"/>
        <v/>
      </c>
    </row>
    <row r="48">
      <c r="A48" s="1" t="s">
        <v>133</v>
      </c>
      <c r="B48" s="1" t="s">
        <v>134</v>
      </c>
      <c r="C48" s="1">
        <v>20.0</v>
      </c>
      <c r="D48" s="1" t="s">
        <v>119</v>
      </c>
      <c r="E48" s="1"/>
      <c r="F48" s="1"/>
      <c r="G48" s="1"/>
      <c r="H48" s="1" t="s">
        <v>30</v>
      </c>
      <c r="L48" s="2">
        <f t="shared" si="1"/>
        <v>395.06</v>
      </c>
      <c r="P48" s="1" t="str">
        <f t="shared" si="2"/>
        <v/>
      </c>
      <c r="T48" s="2" t="str">
        <f t="shared" si="3"/>
        <v/>
      </c>
      <c r="W48" s="2" t="str">
        <f t="shared" si="4"/>
        <v/>
      </c>
    </row>
    <row r="49">
      <c r="A49" s="1" t="s">
        <v>135</v>
      </c>
      <c r="B49" s="1" t="s">
        <v>136</v>
      </c>
      <c r="C49" s="1">
        <v>19.0</v>
      </c>
      <c r="D49" s="1" t="s">
        <v>119</v>
      </c>
      <c r="E49" s="1"/>
      <c r="F49" s="1"/>
      <c r="G49" s="1"/>
      <c r="H49" s="1" t="s">
        <v>30</v>
      </c>
      <c r="L49" s="2">
        <f t="shared" si="1"/>
        <v>456.08</v>
      </c>
      <c r="P49" s="1" t="str">
        <f t="shared" si="2"/>
        <v/>
      </c>
      <c r="T49" s="2" t="str">
        <f t="shared" si="3"/>
        <v/>
      </c>
      <c r="W49" s="2" t="str">
        <f t="shared" si="4"/>
        <v/>
      </c>
    </row>
    <row r="50">
      <c r="A50" s="1" t="s">
        <v>137</v>
      </c>
      <c r="B50" s="1" t="s">
        <v>138</v>
      </c>
      <c r="C50" s="1">
        <v>20.0</v>
      </c>
      <c r="D50" s="1" t="s">
        <v>119</v>
      </c>
      <c r="E50" s="1"/>
      <c r="F50" s="1"/>
      <c r="G50" s="1"/>
      <c r="H50" s="1" t="s">
        <v>30</v>
      </c>
      <c r="L50" s="2">
        <f t="shared" si="1"/>
        <v>353.3</v>
      </c>
      <c r="P50" s="1" t="str">
        <f t="shared" si="2"/>
        <v/>
      </c>
      <c r="T50" s="2" t="str">
        <f t="shared" si="3"/>
        <v/>
      </c>
      <c r="W50" s="2" t="str">
        <f t="shared" si="4"/>
        <v/>
      </c>
    </row>
    <row r="51">
      <c r="A51" s="1" t="s">
        <v>139</v>
      </c>
      <c r="B51" s="1" t="s">
        <v>140</v>
      </c>
      <c r="C51" s="1">
        <v>19.0</v>
      </c>
      <c r="D51" s="1" t="s">
        <v>119</v>
      </c>
      <c r="E51" s="1"/>
      <c r="F51" s="1"/>
      <c r="G51" s="1"/>
      <c r="H51" s="1" t="s">
        <v>30</v>
      </c>
      <c r="L51" s="2">
        <f t="shared" si="1"/>
        <v>238.14</v>
      </c>
      <c r="P51" s="1" t="str">
        <f t="shared" si="2"/>
        <v/>
      </c>
      <c r="T51" s="2" t="str">
        <f t="shared" si="3"/>
        <v/>
      </c>
      <c r="W51" s="2" t="str">
        <f t="shared" si="4"/>
        <v/>
      </c>
    </row>
    <row r="52">
      <c r="A52" s="1" t="s">
        <v>141</v>
      </c>
      <c r="B52" s="1" t="s">
        <v>142</v>
      </c>
      <c r="C52" s="1">
        <v>22.0</v>
      </c>
      <c r="D52" s="1" t="s">
        <v>119</v>
      </c>
      <c r="E52" s="1" t="s">
        <v>123</v>
      </c>
      <c r="F52" s="1"/>
      <c r="G52" s="1" t="s">
        <v>143</v>
      </c>
      <c r="H52" s="1" t="s">
        <v>30</v>
      </c>
      <c r="K52" s="1" t="s">
        <v>58</v>
      </c>
      <c r="L52" s="2">
        <f t="shared" si="1"/>
        <v>119.11</v>
      </c>
      <c r="P52" s="1" t="str">
        <f t="shared" si="2"/>
        <v/>
      </c>
      <c r="T52" s="2" t="str">
        <f t="shared" si="3"/>
        <v/>
      </c>
      <c r="W52" s="2" t="str">
        <f t="shared" si="4"/>
        <v/>
      </c>
    </row>
    <row r="53">
      <c r="A53" s="1" t="s">
        <v>144</v>
      </c>
      <c r="B53" s="1" t="s">
        <v>145</v>
      </c>
      <c r="C53" s="1">
        <v>19.0</v>
      </c>
      <c r="D53" s="1" t="s">
        <v>119</v>
      </c>
      <c r="E53" s="1"/>
      <c r="F53" s="1"/>
      <c r="G53" s="1"/>
      <c r="H53" s="1" t="s">
        <v>30</v>
      </c>
      <c r="L53" s="2">
        <f t="shared" si="1"/>
        <v>1353</v>
      </c>
      <c r="P53" s="1" t="str">
        <f t="shared" si="2"/>
        <v/>
      </c>
      <c r="T53" s="2" t="str">
        <f t="shared" si="3"/>
        <v/>
      </c>
      <c r="W53" s="2" t="str">
        <f t="shared" si="4"/>
        <v/>
      </c>
    </row>
    <row r="54">
      <c r="A54" s="1" t="s">
        <v>146</v>
      </c>
      <c r="B54" s="1" t="s">
        <v>147</v>
      </c>
      <c r="C54" s="1">
        <v>18.0</v>
      </c>
      <c r="D54" s="1" t="s">
        <v>119</v>
      </c>
      <c r="E54" s="1"/>
      <c r="F54" s="1"/>
      <c r="G54" s="1"/>
      <c r="H54" s="1" t="s">
        <v>30</v>
      </c>
      <c r="L54" s="2">
        <f t="shared" si="1"/>
        <v>803.64</v>
      </c>
      <c r="P54" s="1" t="str">
        <f t="shared" si="2"/>
        <v/>
      </c>
      <c r="T54" s="2" t="str">
        <f t="shared" si="3"/>
        <v/>
      </c>
      <c r="W54" s="2" t="str">
        <f t="shared" si="4"/>
        <v/>
      </c>
    </row>
    <row r="55">
      <c r="A55" s="1" t="s">
        <v>148</v>
      </c>
      <c r="B55" s="1" t="s">
        <v>149</v>
      </c>
      <c r="C55" s="1">
        <v>19.0</v>
      </c>
      <c r="D55" s="1" t="s">
        <v>119</v>
      </c>
      <c r="E55" s="1" t="s">
        <v>123</v>
      </c>
      <c r="F55" s="1"/>
      <c r="G55" s="1" t="s">
        <v>150</v>
      </c>
      <c r="H55" s="1" t="s">
        <v>30</v>
      </c>
      <c r="K55" s="1" t="s">
        <v>58</v>
      </c>
      <c r="L55" s="2">
        <f t="shared" si="1"/>
        <v>238.42</v>
      </c>
      <c r="P55" s="1" t="str">
        <f t="shared" si="2"/>
        <v/>
      </c>
      <c r="T55" s="2" t="str">
        <f t="shared" si="3"/>
        <v/>
      </c>
      <c r="W55" s="2" t="str">
        <f t="shared" si="4"/>
        <v/>
      </c>
    </row>
    <row r="56">
      <c r="A56" s="1" t="s">
        <v>151</v>
      </c>
      <c r="B56" s="1" t="s">
        <v>152</v>
      </c>
      <c r="C56" s="1">
        <v>18.0</v>
      </c>
      <c r="D56" s="1" t="s">
        <v>119</v>
      </c>
      <c r="E56" s="1"/>
      <c r="F56" s="1"/>
      <c r="G56" s="1"/>
      <c r="H56" s="1" t="s">
        <v>30</v>
      </c>
      <c r="L56" s="2">
        <f t="shared" si="1"/>
        <v>162.94</v>
      </c>
      <c r="P56" s="1" t="str">
        <f t="shared" si="2"/>
        <v/>
      </c>
      <c r="T56" s="2" t="str">
        <f t="shared" si="3"/>
        <v/>
      </c>
      <c r="W56" s="2" t="str">
        <f t="shared" si="4"/>
        <v/>
      </c>
    </row>
    <row r="57">
      <c r="A57" s="1" t="s">
        <v>153</v>
      </c>
      <c r="B57" s="1" t="s">
        <v>154</v>
      </c>
      <c r="C57" s="1">
        <v>18.0</v>
      </c>
      <c r="D57" s="1" t="s">
        <v>119</v>
      </c>
      <c r="E57" s="1"/>
      <c r="F57" s="1"/>
      <c r="G57" s="1"/>
      <c r="H57" s="1" t="s">
        <v>30</v>
      </c>
      <c r="L57" s="2">
        <f t="shared" si="1"/>
        <v>131.38</v>
      </c>
      <c r="P57" s="1" t="str">
        <f t="shared" si="2"/>
        <v/>
      </c>
      <c r="T57" s="2" t="str">
        <f t="shared" si="3"/>
        <v/>
      </c>
      <c r="W57" s="2" t="str">
        <f t="shared" si="4"/>
        <v/>
      </c>
    </row>
    <row r="58">
      <c r="A58" s="1" t="s">
        <v>155</v>
      </c>
      <c r="B58" s="1" t="s">
        <v>156</v>
      </c>
      <c r="C58" s="1">
        <v>19.0</v>
      </c>
      <c r="D58" s="1" t="s">
        <v>119</v>
      </c>
      <c r="E58" s="1" t="s">
        <v>123</v>
      </c>
      <c r="F58" s="1"/>
      <c r="G58" s="1" t="s">
        <v>157</v>
      </c>
      <c r="H58" s="1" t="s">
        <v>30</v>
      </c>
      <c r="L58" s="2">
        <f t="shared" si="1"/>
        <v>197.79</v>
      </c>
      <c r="P58" s="1" t="str">
        <f t="shared" si="2"/>
        <v/>
      </c>
      <c r="T58" s="2" t="str">
        <f t="shared" si="3"/>
        <v/>
      </c>
      <c r="W58" s="2" t="str">
        <f t="shared" si="4"/>
        <v/>
      </c>
    </row>
    <row r="59">
      <c r="A59" s="1" t="s">
        <v>158</v>
      </c>
      <c r="B59" s="1" t="s">
        <v>159</v>
      </c>
      <c r="C59" s="1">
        <v>24.0</v>
      </c>
      <c r="D59" s="1" t="s">
        <v>160</v>
      </c>
      <c r="E59" s="1"/>
      <c r="F59" s="1"/>
      <c r="G59" s="1"/>
      <c r="H59" s="1" t="s">
        <v>161</v>
      </c>
      <c r="K59" s="1">
        <v>1.0</v>
      </c>
      <c r="L59" s="2">
        <f t="shared" si="1"/>
        <v>456.23</v>
      </c>
      <c r="O59" s="1">
        <v>3.0</v>
      </c>
      <c r="P59" s="1">
        <f t="shared" si="2"/>
        <v>0</v>
      </c>
      <c r="Q59" s="1">
        <v>119.0</v>
      </c>
      <c r="R59" s="1">
        <v>283.0</v>
      </c>
      <c r="S59" s="1">
        <v>368.0</v>
      </c>
      <c r="T59" s="2">
        <f t="shared" si="3"/>
        <v>-38</v>
      </c>
      <c r="U59" s="1">
        <v>21.0</v>
      </c>
      <c r="V59" s="1">
        <v>15.0</v>
      </c>
      <c r="W59" s="2">
        <f t="shared" si="4"/>
        <v>-6</v>
      </c>
      <c r="X59" s="1">
        <v>3.5</v>
      </c>
      <c r="Y59" s="1" t="s">
        <v>48</v>
      </c>
    </row>
    <row r="60">
      <c r="A60" s="1" t="s">
        <v>162</v>
      </c>
      <c r="B60" s="1" t="s">
        <v>163</v>
      </c>
      <c r="C60" s="1">
        <v>18.0</v>
      </c>
      <c r="D60" s="1" t="s">
        <v>160</v>
      </c>
      <c r="E60" s="1"/>
      <c r="F60" s="1"/>
      <c r="G60" s="1"/>
      <c r="H60" s="1" t="s">
        <v>161</v>
      </c>
      <c r="L60" s="2">
        <f t="shared" si="1"/>
        <v>891.72</v>
      </c>
      <c r="P60" s="1" t="str">
        <f t="shared" si="2"/>
        <v/>
      </c>
      <c r="T60" s="2" t="str">
        <f t="shared" si="3"/>
        <v/>
      </c>
      <c r="W60" s="2" t="str">
        <f t="shared" si="4"/>
        <v/>
      </c>
    </row>
    <row r="61">
      <c r="A61" s="1" t="s">
        <v>164</v>
      </c>
      <c r="B61" s="1" t="s">
        <v>165</v>
      </c>
      <c r="C61" s="1">
        <v>20.0</v>
      </c>
      <c r="D61" s="1" t="s">
        <v>160</v>
      </c>
      <c r="E61" s="1"/>
      <c r="F61" s="1"/>
      <c r="G61" s="1"/>
      <c r="H61" s="1" t="s">
        <v>161</v>
      </c>
      <c r="L61" s="2">
        <f t="shared" si="1"/>
        <v>120.02</v>
      </c>
      <c r="P61" s="1" t="str">
        <f t="shared" si="2"/>
        <v/>
      </c>
      <c r="T61" s="2" t="str">
        <f t="shared" si="3"/>
        <v/>
      </c>
      <c r="W61" s="2" t="str">
        <f t="shared" si="4"/>
        <v/>
      </c>
    </row>
    <row r="62">
      <c r="A62" s="1" t="s">
        <v>166</v>
      </c>
      <c r="B62" s="1" t="s">
        <v>167</v>
      </c>
      <c r="C62" s="1">
        <v>18.0</v>
      </c>
      <c r="D62" s="1" t="s">
        <v>160</v>
      </c>
      <c r="E62" s="1"/>
      <c r="F62" s="1"/>
      <c r="G62" s="1"/>
      <c r="H62" s="1" t="s">
        <v>161</v>
      </c>
      <c r="L62" s="1">
        <v>21850.0</v>
      </c>
      <c r="P62" s="1" t="str">
        <f t="shared" si="2"/>
        <v/>
      </c>
      <c r="T62" s="2" t="str">
        <f t="shared" si="3"/>
        <v/>
      </c>
      <c r="W62" s="2" t="str">
        <f t="shared" si="4"/>
        <v/>
      </c>
    </row>
    <row r="63">
      <c r="A63" s="1" t="s">
        <v>168</v>
      </c>
      <c r="B63" s="1" t="s">
        <v>169</v>
      </c>
      <c r="C63" s="1">
        <v>18.0</v>
      </c>
      <c r="D63" s="1" t="s">
        <v>160</v>
      </c>
      <c r="E63" s="1"/>
      <c r="F63" s="1"/>
      <c r="G63" s="1"/>
      <c r="H63" s="1" t="s">
        <v>161</v>
      </c>
      <c r="L63" s="2">
        <f t="shared" ref="L63:L80" si="5">getStockPrice(A63)</f>
        <v>1488</v>
      </c>
      <c r="P63" s="1" t="str">
        <f t="shared" si="2"/>
        <v/>
      </c>
      <c r="T63" s="2" t="str">
        <f t="shared" si="3"/>
        <v/>
      </c>
      <c r="W63" s="2" t="str">
        <f t="shared" si="4"/>
        <v/>
      </c>
    </row>
    <row r="64">
      <c r="A64" s="4" t="s">
        <v>170</v>
      </c>
      <c r="B64" s="1" t="s">
        <v>171</v>
      </c>
      <c r="C64" s="1">
        <v>19.0</v>
      </c>
      <c r="D64" s="1" t="s">
        <v>160</v>
      </c>
      <c r="E64" s="1"/>
      <c r="F64" s="1"/>
      <c r="G64" s="1"/>
      <c r="H64" s="1" t="s">
        <v>161</v>
      </c>
      <c r="L64" s="2">
        <f t="shared" si="5"/>
        <v>41.07</v>
      </c>
      <c r="P64" s="1" t="str">
        <f t="shared" si="2"/>
        <v/>
      </c>
      <c r="T64" s="2" t="str">
        <f t="shared" si="3"/>
        <v/>
      </c>
      <c r="W64" s="2" t="str">
        <f t="shared" si="4"/>
        <v/>
      </c>
    </row>
    <row r="65">
      <c r="A65" s="1" t="s">
        <v>172</v>
      </c>
      <c r="B65" s="1" t="s">
        <v>173</v>
      </c>
      <c r="C65" s="1">
        <v>22.0</v>
      </c>
      <c r="D65" s="1" t="s">
        <v>174</v>
      </c>
      <c r="E65" s="1" t="s">
        <v>108</v>
      </c>
      <c r="F65" s="1"/>
      <c r="G65" s="1"/>
      <c r="H65" s="1" t="s">
        <v>161</v>
      </c>
      <c r="I65" s="1">
        <v>1.0</v>
      </c>
      <c r="K65" s="1">
        <v>1.0</v>
      </c>
      <c r="L65" s="2">
        <f t="shared" si="5"/>
        <v>121.06</v>
      </c>
      <c r="O65" s="1">
        <v>3.0</v>
      </c>
      <c r="P65" s="1">
        <f t="shared" si="2"/>
        <v>0</v>
      </c>
      <c r="Q65" s="1">
        <v>67.0</v>
      </c>
      <c r="R65" s="1">
        <v>91.0</v>
      </c>
      <c r="S65" s="1">
        <v>118.0</v>
      </c>
      <c r="T65" s="2">
        <f t="shared" si="3"/>
        <v>-25</v>
      </c>
      <c r="U65" s="1">
        <v>19.0</v>
      </c>
      <c r="V65" s="1">
        <v>20.0</v>
      </c>
      <c r="W65" s="2">
        <f t="shared" si="4"/>
        <v>1</v>
      </c>
      <c r="X65" s="1">
        <v>3.5</v>
      </c>
      <c r="Y65" s="1" t="s">
        <v>48</v>
      </c>
    </row>
    <row r="66">
      <c r="A66" s="1" t="s">
        <v>175</v>
      </c>
      <c r="B66" s="1" t="s">
        <v>176</v>
      </c>
      <c r="C66" s="1">
        <v>21.0</v>
      </c>
      <c r="D66" s="1" t="s">
        <v>174</v>
      </c>
      <c r="E66" s="1"/>
      <c r="F66" s="1"/>
      <c r="G66" s="1"/>
      <c r="H66" s="1" t="s">
        <v>161</v>
      </c>
      <c r="I66" s="1">
        <v>1.0</v>
      </c>
      <c r="K66" s="1">
        <v>1.0</v>
      </c>
      <c r="L66" s="2">
        <f t="shared" si="5"/>
        <v>35.45</v>
      </c>
      <c r="O66" s="1">
        <v>2.0</v>
      </c>
      <c r="P66" s="1">
        <f t="shared" si="2"/>
        <v>0.55</v>
      </c>
      <c r="Q66" s="1">
        <v>36.0</v>
      </c>
      <c r="R66" s="1">
        <v>44.0</v>
      </c>
      <c r="S66" s="1">
        <v>57.0</v>
      </c>
      <c r="T66" s="2">
        <f t="shared" si="3"/>
        <v>24</v>
      </c>
      <c r="U66" s="1">
        <v>6.5</v>
      </c>
      <c r="V66" s="1">
        <v>15.0</v>
      </c>
      <c r="W66" s="2">
        <f t="shared" si="4"/>
        <v>8.5</v>
      </c>
      <c r="X66" s="1">
        <v>4.0</v>
      </c>
      <c r="Y66" s="1" t="s">
        <v>48</v>
      </c>
    </row>
    <row r="67">
      <c r="A67" s="1" t="s">
        <v>177</v>
      </c>
      <c r="C67" s="1">
        <v>23.0</v>
      </c>
      <c r="D67" s="1" t="s">
        <v>178</v>
      </c>
      <c r="E67" s="1"/>
      <c r="F67" s="1"/>
      <c r="G67" s="1"/>
      <c r="H67" s="1" t="s">
        <v>45</v>
      </c>
      <c r="I67" s="1">
        <v>1.0</v>
      </c>
      <c r="K67" s="1">
        <v>1.0</v>
      </c>
      <c r="L67" s="2">
        <f t="shared" si="5"/>
        <v>15.34</v>
      </c>
      <c r="M67" s="1">
        <v>100.0</v>
      </c>
      <c r="N67" s="1" t="s">
        <v>179</v>
      </c>
      <c r="O67" s="1">
        <v>1.0</v>
      </c>
      <c r="P67" s="1">
        <f t="shared" si="2"/>
        <v>0</v>
      </c>
      <c r="Q67" s="1">
        <v>10.9</v>
      </c>
      <c r="R67" s="1">
        <v>19.5</v>
      </c>
      <c r="S67" s="1">
        <v>28.25</v>
      </c>
      <c r="T67" s="2">
        <f t="shared" si="3"/>
        <v>27</v>
      </c>
      <c r="U67" s="1">
        <v>13.0</v>
      </c>
      <c r="V67" s="1">
        <v>34.0</v>
      </c>
      <c r="W67" s="2">
        <f t="shared" si="4"/>
        <v>21</v>
      </c>
      <c r="X67" s="1">
        <v>4.0</v>
      </c>
      <c r="Y67" s="1" t="s">
        <v>48</v>
      </c>
    </row>
    <row r="68">
      <c r="A68" s="1" t="s">
        <v>180</v>
      </c>
      <c r="C68" s="1">
        <v>19.0</v>
      </c>
      <c r="D68" s="1" t="s">
        <v>178</v>
      </c>
      <c r="E68" s="1"/>
      <c r="F68" s="1"/>
      <c r="G68" s="1"/>
      <c r="H68" s="1" t="s">
        <v>45</v>
      </c>
      <c r="I68" s="1">
        <v>1.0</v>
      </c>
      <c r="K68" s="1">
        <v>1.0</v>
      </c>
      <c r="L68" s="2">
        <f t="shared" si="5"/>
        <v>18.79</v>
      </c>
      <c r="M68" s="1" t="s">
        <v>181</v>
      </c>
      <c r="N68" s="1" t="s">
        <v>179</v>
      </c>
      <c r="O68" s="1">
        <v>1.0</v>
      </c>
      <c r="P68" s="1">
        <f t="shared" si="2"/>
        <v>0</v>
      </c>
      <c r="Q68" s="1">
        <v>11.7</v>
      </c>
      <c r="R68" s="1">
        <v>15.9</v>
      </c>
      <c r="S68" s="1">
        <v>24.8</v>
      </c>
      <c r="T68" s="2">
        <f t="shared" si="3"/>
        <v>-15</v>
      </c>
      <c r="U68" s="1">
        <v>11.5</v>
      </c>
      <c r="V68" s="1">
        <v>30.0</v>
      </c>
      <c r="W68" s="2">
        <f t="shared" si="4"/>
        <v>18.5</v>
      </c>
      <c r="X68" s="1">
        <v>3.5</v>
      </c>
      <c r="Y68" s="1" t="s">
        <v>48</v>
      </c>
    </row>
    <row r="69">
      <c r="A69" s="1" t="s">
        <v>182</v>
      </c>
      <c r="C69" s="1">
        <v>18.0</v>
      </c>
      <c r="D69" s="1" t="s">
        <v>178</v>
      </c>
      <c r="E69" s="1"/>
      <c r="F69" s="1"/>
      <c r="G69" s="1"/>
      <c r="H69" s="1" t="s">
        <v>45</v>
      </c>
      <c r="L69" s="2">
        <f t="shared" si="5"/>
        <v>16.56</v>
      </c>
      <c r="P69" s="1" t="str">
        <f t="shared" ref="P69:P86" si="6">IF(ISBLANK(Q69),,(IF(Q69&gt;L69, 1, 0)))</f>
        <v/>
      </c>
      <c r="T69" s="2" t="str">
        <f t="shared" si="3"/>
        <v/>
      </c>
      <c r="W69" s="2" t="str">
        <f t="shared" si="4"/>
        <v/>
      </c>
    </row>
    <row r="70">
      <c r="A70" s="1" t="s">
        <v>183</v>
      </c>
      <c r="C70" s="1">
        <v>18.0</v>
      </c>
      <c r="D70" s="1" t="s">
        <v>178</v>
      </c>
      <c r="E70" s="1"/>
      <c r="F70" s="1"/>
      <c r="G70" s="1"/>
      <c r="H70" s="1" t="s">
        <v>45</v>
      </c>
      <c r="L70" s="2">
        <f t="shared" si="5"/>
        <v>59.62</v>
      </c>
      <c r="P70" s="1" t="str">
        <f t="shared" si="6"/>
        <v/>
      </c>
      <c r="T70" s="2" t="str">
        <f t="shared" si="3"/>
        <v/>
      </c>
      <c r="W70" s="2" t="str">
        <f t="shared" si="4"/>
        <v/>
      </c>
    </row>
    <row r="71">
      <c r="A71" s="1" t="s">
        <v>184</v>
      </c>
      <c r="C71" s="1">
        <v>18.0</v>
      </c>
      <c r="D71" s="1" t="s">
        <v>178</v>
      </c>
      <c r="E71" s="1"/>
      <c r="F71" s="1"/>
      <c r="G71" s="1"/>
      <c r="H71" s="1" t="s">
        <v>45</v>
      </c>
      <c r="L71" s="2">
        <f t="shared" si="5"/>
        <v>230</v>
      </c>
      <c r="P71" s="1" t="str">
        <f t="shared" si="6"/>
        <v/>
      </c>
      <c r="T71" s="2" t="str">
        <f t="shared" si="3"/>
        <v/>
      </c>
      <c r="W71" s="2" t="str">
        <f t="shared" si="4"/>
        <v/>
      </c>
    </row>
    <row r="72">
      <c r="A72" s="1" t="s">
        <v>185</v>
      </c>
      <c r="C72" s="1">
        <v>22.0</v>
      </c>
      <c r="D72" s="1" t="s">
        <v>186</v>
      </c>
      <c r="F72" s="1"/>
      <c r="G72" s="1"/>
      <c r="H72" s="1" t="s">
        <v>30</v>
      </c>
      <c r="K72" s="1" t="s">
        <v>58</v>
      </c>
      <c r="L72" s="2" t="str">
        <f t="shared" si="5"/>
        <v>#ERROR!</v>
      </c>
      <c r="P72" s="1" t="str">
        <f t="shared" si="6"/>
        <v/>
      </c>
      <c r="T72" s="2" t="str">
        <f t="shared" si="3"/>
        <v/>
      </c>
    </row>
    <row r="73">
      <c r="A73" s="1" t="s">
        <v>187</v>
      </c>
      <c r="C73" s="1">
        <v>19.0</v>
      </c>
      <c r="D73" s="1" t="s">
        <v>188</v>
      </c>
      <c r="F73" s="1"/>
      <c r="G73" s="1"/>
      <c r="H73" s="1" t="s">
        <v>30</v>
      </c>
      <c r="K73" s="1" t="s">
        <v>58</v>
      </c>
      <c r="L73" s="2">
        <f t="shared" si="5"/>
        <v>731.94</v>
      </c>
      <c r="P73" s="1" t="str">
        <f t="shared" si="6"/>
        <v/>
      </c>
      <c r="T73" s="2" t="str">
        <f t="shared" si="3"/>
        <v/>
      </c>
    </row>
    <row r="74">
      <c r="A74" s="1" t="s">
        <v>189</v>
      </c>
      <c r="C74" s="1">
        <v>20.0</v>
      </c>
      <c r="D74" s="1" t="s">
        <v>190</v>
      </c>
      <c r="F74" s="1"/>
      <c r="G74" s="1"/>
      <c r="H74" s="1" t="s">
        <v>30</v>
      </c>
      <c r="K74" s="1" t="s">
        <v>58</v>
      </c>
      <c r="L74" s="2" t="str">
        <f t="shared" si="5"/>
        <v/>
      </c>
      <c r="P74" s="1" t="str">
        <f t="shared" si="6"/>
        <v/>
      </c>
      <c r="T74" s="2" t="str">
        <f t="shared" si="3"/>
        <v/>
      </c>
    </row>
    <row r="75">
      <c r="A75" s="1" t="s">
        <v>191</v>
      </c>
      <c r="B75" s="1" t="s">
        <v>192</v>
      </c>
      <c r="C75" s="1">
        <v>21.0</v>
      </c>
      <c r="D75" s="1" t="s">
        <v>193</v>
      </c>
      <c r="E75" s="1"/>
      <c r="F75" s="1"/>
      <c r="G75" s="1"/>
      <c r="H75" s="1" t="s">
        <v>161</v>
      </c>
      <c r="J75" s="1" t="s">
        <v>120</v>
      </c>
      <c r="K75" s="1">
        <v>1.0</v>
      </c>
      <c r="L75" s="2">
        <f t="shared" si="5"/>
        <v>824.01</v>
      </c>
      <c r="O75" s="1">
        <v>3.0</v>
      </c>
      <c r="P75" s="1">
        <f t="shared" si="6"/>
        <v>0</v>
      </c>
      <c r="Q75" s="1">
        <v>285.0</v>
      </c>
      <c r="R75" s="1">
        <v>466.0</v>
      </c>
      <c r="S75" s="1">
        <v>608.0</v>
      </c>
      <c r="T75" s="2">
        <f t="shared" si="3"/>
        <v>-43</v>
      </c>
      <c r="U75" s="1">
        <v>37.0</v>
      </c>
      <c r="V75" s="1">
        <v>58.0</v>
      </c>
      <c r="W75" s="2">
        <f t="shared" ref="W75:W80" si="7">IF(ISBLANK(V75),,(V75-U75))</f>
        <v>21</v>
      </c>
      <c r="X75" s="1">
        <v>3.0</v>
      </c>
      <c r="Y75" s="1" t="s">
        <v>48</v>
      </c>
    </row>
    <row r="76">
      <c r="A76" s="1" t="s">
        <v>194</v>
      </c>
      <c r="B76" s="1" t="s">
        <v>195</v>
      </c>
      <c r="C76" s="1">
        <v>18.0</v>
      </c>
      <c r="D76" s="1" t="s">
        <v>193</v>
      </c>
      <c r="E76" s="1"/>
      <c r="F76" s="1"/>
      <c r="G76" s="1"/>
      <c r="H76" s="1" t="s">
        <v>161</v>
      </c>
      <c r="J76" s="1" t="s">
        <v>120</v>
      </c>
      <c r="K76" s="1">
        <v>1.0</v>
      </c>
      <c r="L76" s="2">
        <f t="shared" si="5"/>
        <v>215.63</v>
      </c>
      <c r="O76" s="1">
        <v>3.0</v>
      </c>
      <c r="P76" s="1">
        <f t="shared" si="6"/>
        <v>0</v>
      </c>
      <c r="Q76" s="1">
        <v>73.0</v>
      </c>
      <c r="R76" s="1">
        <v>109.0</v>
      </c>
      <c r="S76" s="1">
        <v>161.0</v>
      </c>
      <c r="T76" s="2">
        <f t="shared" si="3"/>
        <v>-49</v>
      </c>
      <c r="U76" s="1">
        <v>27.0</v>
      </c>
      <c r="V76" s="1">
        <v>22.0</v>
      </c>
      <c r="W76" s="2">
        <f t="shared" si="7"/>
        <v>-5</v>
      </c>
      <c r="X76" s="1">
        <v>4.0</v>
      </c>
      <c r="Y76" s="1" t="s">
        <v>48</v>
      </c>
    </row>
    <row r="77">
      <c r="A77" s="1" t="s">
        <v>196</v>
      </c>
      <c r="B77" s="1" t="s">
        <v>197</v>
      </c>
      <c r="C77" s="1">
        <v>18.0</v>
      </c>
      <c r="D77" s="1" t="s">
        <v>193</v>
      </c>
      <c r="E77" s="1"/>
      <c r="F77" s="1"/>
      <c r="G77" s="1"/>
      <c r="H77" s="1" t="s">
        <v>161</v>
      </c>
      <c r="J77" s="1" t="s">
        <v>120</v>
      </c>
      <c r="K77" s="1">
        <v>1.0</v>
      </c>
      <c r="L77" s="2">
        <f t="shared" si="5"/>
        <v>475.76</v>
      </c>
      <c r="O77" s="1">
        <v>3.0</v>
      </c>
      <c r="P77" s="1">
        <f t="shared" si="6"/>
        <v>0</v>
      </c>
      <c r="Q77" s="1">
        <v>118.0</v>
      </c>
      <c r="R77" s="1">
        <v>182.0</v>
      </c>
      <c r="S77" s="1">
        <v>269.0</v>
      </c>
      <c r="T77" s="2">
        <f t="shared" si="3"/>
        <v>-62</v>
      </c>
      <c r="U77" s="1">
        <v>31.0</v>
      </c>
      <c r="V77" s="1">
        <v>16.0</v>
      </c>
      <c r="W77" s="2">
        <f t="shared" si="7"/>
        <v>-15</v>
      </c>
      <c r="X77" s="1">
        <v>3.5</v>
      </c>
      <c r="Y77" s="1" t="s">
        <v>48</v>
      </c>
    </row>
    <row r="78">
      <c r="A78" s="1" t="s">
        <v>198</v>
      </c>
      <c r="B78" s="1" t="s">
        <v>199</v>
      </c>
      <c r="C78" s="1">
        <v>20.0</v>
      </c>
      <c r="D78" s="1" t="s">
        <v>193</v>
      </c>
      <c r="E78" s="1"/>
      <c r="F78" s="1"/>
      <c r="G78" s="1"/>
      <c r="H78" s="1" t="s">
        <v>161</v>
      </c>
      <c r="J78" s="1" t="s">
        <v>125</v>
      </c>
      <c r="K78" s="1">
        <v>1.0</v>
      </c>
      <c r="L78" s="2">
        <f t="shared" si="5"/>
        <v>308.2</v>
      </c>
      <c r="O78" s="1">
        <v>3.0</v>
      </c>
      <c r="P78" s="1">
        <f t="shared" si="6"/>
        <v>0</v>
      </c>
      <c r="Q78" s="1">
        <v>111.0</v>
      </c>
      <c r="R78" s="1">
        <v>186.0</v>
      </c>
      <c r="S78" s="1">
        <v>261.0</v>
      </c>
      <c r="T78" s="2">
        <f t="shared" si="3"/>
        <v>-40</v>
      </c>
      <c r="U78" s="1">
        <v>18.0</v>
      </c>
      <c r="V78" s="1">
        <v>23.0</v>
      </c>
      <c r="W78" s="2">
        <f t="shared" si="7"/>
        <v>5</v>
      </c>
      <c r="X78" s="1">
        <v>3.5</v>
      </c>
      <c r="Y78" s="1" t="s">
        <v>48</v>
      </c>
    </row>
    <row r="79">
      <c r="A79" s="3" t="s">
        <v>200</v>
      </c>
      <c r="B79" s="1" t="s">
        <v>201</v>
      </c>
      <c r="C79" s="1">
        <v>18.0</v>
      </c>
      <c r="D79" s="1" t="s">
        <v>193</v>
      </c>
      <c r="E79" s="1"/>
      <c r="F79" s="1"/>
      <c r="G79" s="1"/>
      <c r="H79" s="1" t="s">
        <v>161</v>
      </c>
      <c r="J79" s="1" t="s">
        <v>202</v>
      </c>
      <c r="K79" s="1">
        <v>1.0</v>
      </c>
      <c r="L79" s="2">
        <f t="shared" si="5"/>
        <v>330.66</v>
      </c>
      <c r="O79" s="1">
        <v>3.0</v>
      </c>
      <c r="P79" s="1">
        <f t="shared" si="6"/>
        <v>0</v>
      </c>
      <c r="Q79" s="1">
        <v>99.0</v>
      </c>
      <c r="R79" s="1">
        <v>127.0</v>
      </c>
      <c r="S79" s="1">
        <v>162.0</v>
      </c>
      <c r="T79" s="2">
        <f t="shared" si="3"/>
        <v>-62</v>
      </c>
      <c r="U79" s="1">
        <v>46.0</v>
      </c>
      <c r="V79" s="1">
        <v>30.0</v>
      </c>
      <c r="W79" s="2">
        <f t="shared" si="7"/>
        <v>-16</v>
      </c>
      <c r="X79" s="1">
        <v>5.0</v>
      </c>
      <c r="Y79" s="1" t="s">
        <v>48</v>
      </c>
    </row>
    <row r="80">
      <c r="A80" s="3" t="s">
        <v>203</v>
      </c>
      <c r="B80" s="1" t="s">
        <v>204</v>
      </c>
      <c r="C80" s="1">
        <v>18.0</v>
      </c>
      <c r="D80" s="1" t="s">
        <v>193</v>
      </c>
      <c r="E80" s="1"/>
      <c r="F80" s="1"/>
      <c r="G80" s="1"/>
      <c r="H80" s="1" t="s">
        <v>161</v>
      </c>
      <c r="J80" s="1" t="s">
        <v>202</v>
      </c>
      <c r="K80" s="1">
        <v>1.0</v>
      </c>
      <c r="L80" s="2">
        <f t="shared" si="5"/>
        <v>106.7</v>
      </c>
      <c r="O80" s="1">
        <v>3.0</v>
      </c>
      <c r="P80" s="1">
        <f t="shared" si="6"/>
        <v>0</v>
      </c>
      <c r="Q80" s="1">
        <v>25.0</v>
      </c>
      <c r="R80" s="1">
        <v>80.0</v>
      </c>
      <c r="S80" s="1">
        <v>116.0</v>
      </c>
      <c r="T80" s="2">
        <f t="shared" si="3"/>
        <v>-25</v>
      </c>
      <c r="U80" s="1">
        <v>24.5</v>
      </c>
      <c r="V80" s="1">
        <v>20.0</v>
      </c>
      <c r="W80" s="2">
        <f t="shared" si="7"/>
        <v>-4.5</v>
      </c>
      <c r="X80" s="1">
        <v>3.0</v>
      </c>
      <c r="Y80" s="1" t="s">
        <v>48</v>
      </c>
    </row>
    <row r="81">
      <c r="A81" s="1" t="s">
        <v>205</v>
      </c>
      <c r="P81" s="1" t="str">
        <f t="shared" si="6"/>
        <v/>
      </c>
    </row>
    <row r="82">
      <c r="A82" s="1" t="s">
        <v>206</v>
      </c>
      <c r="P82" s="1" t="str">
        <f t="shared" si="6"/>
        <v/>
      </c>
    </row>
    <row r="83">
      <c r="A83" s="1" t="s">
        <v>207</v>
      </c>
      <c r="P83" s="1" t="str">
        <f t="shared" si="6"/>
        <v/>
      </c>
    </row>
    <row r="84">
      <c r="A84" s="1" t="s">
        <v>208</v>
      </c>
      <c r="P84" s="1" t="str">
        <f t="shared" si="6"/>
        <v/>
      </c>
    </row>
    <row r="85">
      <c r="A85" s="1" t="s">
        <v>209</v>
      </c>
      <c r="P85" s="1" t="str">
        <f t="shared" si="6"/>
        <v/>
      </c>
    </row>
    <row r="86">
      <c r="A86" s="1" t="s">
        <v>210</v>
      </c>
      <c r="P86" s="1" t="str">
        <f t="shared" si="6"/>
        <v/>
      </c>
    </row>
  </sheetData>
  <autoFilter ref="$A$1:$AL$86">
    <sortState ref="A1:AL86">
      <sortCondition ref="D1:D86"/>
      <sortCondition ref="H1:H86"/>
    </sortState>
  </autoFilter>
  <conditionalFormatting sqref="C1:C48 D49:D64 C50:C1006">
    <cfRule type="colorScale" priority="1">
      <colorScale>
        <cfvo type="min"/>
        <cfvo type="percentile" val="50"/>
        <cfvo type="max"/>
        <color rgb="FFFF0000"/>
        <color rgb="FFFFFFFF"/>
        <color rgb="FF00FF00"/>
      </colorScale>
    </cfRule>
  </conditionalFormatting>
  <conditionalFormatting sqref="T1:T1006">
    <cfRule type="colorScale" priority="2">
      <colorScale>
        <cfvo type="min"/>
        <cfvo type="percentile" val="50"/>
        <cfvo type="max"/>
        <color rgb="FFFF0000"/>
        <color rgb="FFFFFFFF"/>
        <color rgb="FF00FF00"/>
      </colorScale>
    </cfRule>
  </conditionalFormatting>
  <conditionalFormatting sqref="W1:W1006">
    <cfRule type="colorScale" priority="3">
      <colorScale>
        <cfvo type="min"/>
        <cfvo type="percentile" val="50"/>
        <cfvo type="max"/>
        <color rgb="FFFF0000"/>
        <color rgb="FFFFFFFF"/>
        <color rgb="FF00FF00"/>
      </colorScale>
    </cfRule>
  </conditionalFormatting>
  <conditionalFormatting sqref="O1:O1006">
    <cfRule type="cellIs" dxfId="0" priority="4" operator="equal">
      <formula>3</formula>
    </cfRule>
  </conditionalFormatting>
  <conditionalFormatting sqref="O1:O1006">
    <cfRule type="cellIs" dxfId="1" priority="5" operator="equal">
      <formula>1</formula>
    </cfRule>
  </conditionalFormatting>
  <conditionalFormatting sqref="O1:O1006">
    <cfRule type="cellIs" dxfId="2" priority="6" operator="equal">
      <formula>5</formula>
    </cfRule>
  </conditionalFormatting>
  <conditionalFormatting sqref="O1:O1006">
    <cfRule type="cellIs" dxfId="3" priority="7" operator="equal">
      <formula>4</formula>
    </cfRule>
  </conditionalFormatting>
  <conditionalFormatting sqref="O1:O1006">
    <cfRule type="cellIs" dxfId="4" priority="8" operator="equal">
      <formula>2</formula>
    </cfRule>
  </conditionalFormatting>
  <conditionalFormatting sqref="P1:P1006">
    <cfRule type="cellIs" dxfId="1" priority="9" operator="greaterThan">
      <formula>0</formula>
    </cfRule>
  </conditionalFormatting>
  <hyperlinks>
    <hyperlink r:id="rId4" ref="A9"/>
    <hyperlink r:id="rId5" ref="A10"/>
    <hyperlink r:id="rId6" ref="A11"/>
    <hyperlink r:id="rId7" ref="A12"/>
    <hyperlink r:id="rId8" ref="A14"/>
    <hyperlink r:id="rId9" ref="A16"/>
    <hyperlink r:id="rId10" ref="A17"/>
    <hyperlink r:id="rId11" ref="B17"/>
    <hyperlink r:id="rId12" ref="A18"/>
    <hyperlink r:id="rId13" ref="A19"/>
    <hyperlink r:id="rId14" ref="A20"/>
    <hyperlink r:id="rId15" ref="B20"/>
    <hyperlink r:id="rId16" ref="A22"/>
    <hyperlink r:id="rId17" ref="A23"/>
    <hyperlink r:id="rId18" ref="A24"/>
    <hyperlink r:id="rId19" ref="A25"/>
    <hyperlink r:id="rId20" ref="A26"/>
    <hyperlink r:id="rId21" ref="A27"/>
    <hyperlink r:id="rId22" ref="A64"/>
    <hyperlink r:id="rId23" ref="A79"/>
    <hyperlink r:id="rId24" ref="A80"/>
  </hyperlinks>
  <drawing r:id="rId25"/>
  <legacy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23.5"/>
  </cols>
  <sheetData>
    <row r="1">
      <c r="A1" s="1" t="s">
        <v>211</v>
      </c>
      <c r="B1" s="1" t="s">
        <v>212</v>
      </c>
      <c r="C1" s="1" t="s">
        <v>3</v>
      </c>
      <c r="D1" s="1" t="s">
        <v>213</v>
      </c>
    </row>
    <row r="2">
      <c r="A2" s="1">
        <v>2.0</v>
      </c>
      <c r="B2" s="1" t="s">
        <v>214</v>
      </c>
      <c r="C2" s="1" t="s">
        <v>215</v>
      </c>
      <c r="D2" s="1" t="s">
        <v>216</v>
      </c>
    </row>
    <row r="3">
      <c r="A3" s="1">
        <v>3.0</v>
      </c>
      <c r="B3" s="1" t="s">
        <v>217</v>
      </c>
      <c r="C3" s="1" t="s">
        <v>215</v>
      </c>
      <c r="D3" s="1" t="s">
        <v>216</v>
      </c>
    </row>
    <row r="4">
      <c r="A4" s="1">
        <v>4.0</v>
      </c>
      <c r="B4" s="1" t="s">
        <v>218</v>
      </c>
      <c r="C4" s="1" t="s">
        <v>215</v>
      </c>
      <c r="D4" s="1" t="s">
        <v>216</v>
      </c>
    </row>
    <row r="5">
      <c r="A5" s="1">
        <v>5.0</v>
      </c>
      <c r="B5" s="1" t="s">
        <v>219</v>
      </c>
      <c r="C5" s="1" t="s">
        <v>215</v>
      </c>
    </row>
    <row r="6">
      <c r="A6" s="1">
        <v>6.0</v>
      </c>
      <c r="B6" s="1" t="s">
        <v>220</v>
      </c>
      <c r="C6" s="1" t="s">
        <v>215</v>
      </c>
    </row>
    <row r="7">
      <c r="A7" s="1">
        <v>7.0</v>
      </c>
      <c r="B7" s="1" t="s">
        <v>221</v>
      </c>
      <c r="C7" s="1" t="s">
        <v>215</v>
      </c>
    </row>
    <row r="8">
      <c r="A8" s="1">
        <v>8.0</v>
      </c>
      <c r="B8" s="1" t="s">
        <v>222</v>
      </c>
      <c r="C8" s="1" t="s">
        <v>215</v>
      </c>
    </row>
    <row r="9">
      <c r="A9" s="1">
        <v>9.0</v>
      </c>
      <c r="B9" s="1" t="s">
        <v>223</v>
      </c>
      <c r="C9" s="1" t="s">
        <v>215</v>
      </c>
    </row>
    <row r="10">
      <c r="A10" s="1">
        <v>10.0</v>
      </c>
      <c r="B10" s="1" t="s">
        <v>224</v>
      </c>
      <c r="C10" s="1" t="s">
        <v>215</v>
      </c>
    </row>
    <row r="11">
      <c r="A11" s="1">
        <v>11.0</v>
      </c>
      <c r="B11" s="1" t="s">
        <v>225</v>
      </c>
      <c r="C11" s="1" t="s">
        <v>215</v>
      </c>
    </row>
    <row r="12">
      <c r="A12" s="1">
        <v>12.0</v>
      </c>
      <c r="B12" s="1" t="s">
        <v>226</v>
      </c>
      <c r="C12" s="1" t="s">
        <v>227</v>
      </c>
    </row>
    <row r="13">
      <c r="A13" s="1">
        <v>13.0</v>
      </c>
      <c r="B13" s="1" t="s">
        <v>228</v>
      </c>
      <c r="C13" s="1" t="s">
        <v>227</v>
      </c>
    </row>
    <row r="14">
      <c r="A14" s="1">
        <v>14.0</v>
      </c>
      <c r="B14" s="1" t="s">
        <v>229</v>
      </c>
      <c r="C14" s="1" t="s">
        <v>227</v>
      </c>
    </row>
    <row r="15">
      <c r="A15" s="1">
        <v>15.0</v>
      </c>
      <c r="B15" s="1" t="s">
        <v>230</v>
      </c>
      <c r="C15" s="1" t="s">
        <v>227</v>
      </c>
      <c r="D15" s="1" t="s">
        <v>231</v>
      </c>
    </row>
    <row r="16">
      <c r="A16" s="1">
        <v>16.0</v>
      </c>
      <c r="B16" s="1" t="s">
        <v>232</v>
      </c>
      <c r="C16" s="1" t="s">
        <v>227</v>
      </c>
    </row>
    <row r="17">
      <c r="A17" s="1">
        <v>17.0</v>
      </c>
      <c r="B17" s="1" t="s">
        <v>233</v>
      </c>
      <c r="C17" s="1" t="s">
        <v>234</v>
      </c>
      <c r="D17" s="1" t="s">
        <v>231</v>
      </c>
    </row>
    <row r="18">
      <c r="A18" s="1">
        <v>18.0</v>
      </c>
      <c r="B18" s="1" t="s">
        <v>235</v>
      </c>
      <c r="C18" s="1" t="s">
        <v>234</v>
      </c>
      <c r="D18" s="1" t="s">
        <v>231</v>
      </c>
    </row>
    <row r="19">
      <c r="A19" s="1">
        <v>19.0</v>
      </c>
      <c r="B19" s="1" t="s">
        <v>236</v>
      </c>
      <c r="C19" s="1" t="s">
        <v>234</v>
      </c>
    </row>
    <row r="20">
      <c r="A20" s="1">
        <v>20.0</v>
      </c>
      <c r="B20" s="1" t="s">
        <v>237</v>
      </c>
      <c r="C20" s="1" t="s">
        <v>238</v>
      </c>
    </row>
    <row r="21">
      <c r="A21" s="1">
        <v>21.0</v>
      </c>
      <c r="B21" s="1" t="s">
        <v>239</v>
      </c>
      <c r="C21" s="1" t="s">
        <v>238</v>
      </c>
    </row>
    <row r="22">
      <c r="A22" s="1">
        <v>22.0</v>
      </c>
      <c r="B22" s="1" t="s">
        <v>240</v>
      </c>
      <c r="C22" s="1" t="s">
        <v>238</v>
      </c>
    </row>
    <row r="23">
      <c r="A23" s="1">
        <v>23.0</v>
      </c>
      <c r="B23" s="1" t="s">
        <v>241</v>
      </c>
      <c r="C23" s="1" t="s">
        <v>238</v>
      </c>
    </row>
    <row r="24">
      <c r="A24" s="1">
        <v>1.0</v>
      </c>
      <c r="B24" s="1" t="s">
        <v>242</v>
      </c>
      <c r="C24" s="1" t="s">
        <v>243</v>
      </c>
      <c r="D24" s="1" t="s">
        <v>216</v>
      </c>
    </row>
    <row r="25">
      <c r="A25" s="1">
        <v>24.0</v>
      </c>
      <c r="B25" s="1" t="s">
        <v>244</v>
      </c>
      <c r="C25" s="1" t="s">
        <v>243</v>
      </c>
      <c r="D25" s="1" t="s">
        <v>216</v>
      </c>
    </row>
    <row r="26">
      <c r="A26" s="1">
        <v>25.0</v>
      </c>
      <c r="B26" s="1" t="s">
        <v>108</v>
      </c>
      <c r="C26" s="1" t="s">
        <v>243</v>
      </c>
      <c r="D26" s="1" t="s">
        <v>216</v>
      </c>
    </row>
    <row r="27">
      <c r="A27" s="1">
        <v>26.0</v>
      </c>
      <c r="B27" s="1" t="s">
        <v>245</v>
      </c>
      <c r="C27" s="1" t="s">
        <v>243</v>
      </c>
    </row>
    <row r="28">
      <c r="A28" s="1">
        <v>27.0</v>
      </c>
      <c r="B28" s="1" t="s">
        <v>246</v>
      </c>
      <c r="C28" s="1" t="s">
        <v>243</v>
      </c>
      <c r="D28" s="1" t="s">
        <v>216</v>
      </c>
    </row>
    <row r="29">
      <c r="A29" s="1">
        <v>38.0</v>
      </c>
      <c r="B29" s="1" t="s">
        <v>247</v>
      </c>
      <c r="C29" s="1" t="s">
        <v>243</v>
      </c>
    </row>
    <row r="30">
      <c r="A30" s="1">
        <v>28.0</v>
      </c>
      <c r="B30" s="1" t="s">
        <v>248</v>
      </c>
      <c r="C30" s="1" t="s">
        <v>249</v>
      </c>
      <c r="D30" s="1" t="s">
        <v>216</v>
      </c>
    </row>
    <row r="31">
      <c r="A31" s="1">
        <v>29.0</v>
      </c>
      <c r="B31" s="1" t="s">
        <v>250</v>
      </c>
      <c r="C31" s="1" t="s">
        <v>249</v>
      </c>
    </row>
    <row r="32">
      <c r="A32" s="1">
        <v>30.0</v>
      </c>
      <c r="B32" s="1" t="s">
        <v>251</v>
      </c>
      <c r="C32" s="1" t="s">
        <v>249</v>
      </c>
    </row>
    <row r="33">
      <c r="A33" s="1">
        <v>31.0</v>
      </c>
      <c r="B33" s="1" t="s">
        <v>252</v>
      </c>
      <c r="C33" s="1" t="s">
        <v>249</v>
      </c>
    </row>
    <row r="34">
      <c r="A34" s="1">
        <v>32.0</v>
      </c>
      <c r="B34" s="1" t="s">
        <v>253</v>
      </c>
      <c r="C34" s="1" t="s">
        <v>254</v>
      </c>
    </row>
    <row r="35">
      <c r="A35" s="1">
        <v>33.0</v>
      </c>
      <c r="B35" s="1" t="s">
        <v>255</v>
      </c>
      <c r="C35" s="1" t="s">
        <v>254</v>
      </c>
    </row>
    <row r="36">
      <c r="A36" s="1">
        <v>37.0</v>
      </c>
      <c r="B36" s="1" t="s">
        <v>256</v>
      </c>
      <c r="C36" s="1" t="s">
        <v>254</v>
      </c>
    </row>
    <row r="37">
      <c r="A37" s="1">
        <v>34.0</v>
      </c>
      <c r="B37" s="1" t="s">
        <v>257</v>
      </c>
      <c r="C37" s="1" t="s">
        <v>258</v>
      </c>
      <c r="D37" s="1" t="s">
        <v>216</v>
      </c>
    </row>
    <row r="38">
      <c r="A38" s="1">
        <v>35.0</v>
      </c>
      <c r="B38" s="1" t="s">
        <v>259</v>
      </c>
      <c r="C38" s="1" t="s">
        <v>258</v>
      </c>
      <c r="D38" s="1" t="s">
        <v>216</v>
      </c>
    </row>
    <row r="39">
      <c r="A39" s="1">
        <v>36.0</v>
      </c>
      <c r="B39" s="1" t="s">
        <v>260</v>
      </c>
      <c r="C39" s="1" t="s">
        <v>258</v>
      </c>
      <c r="D39" s="1" t="s">
        <v>216</v>
      </c>
    </row>
  </sheetData>
  <drawing r:id="rId1"/>
</worksheet>
</file>